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Questa_cartella_di_lavoro"/>
  <mc:AlternateContent xmlns:mc="http://schemas.openxmlformats.org/markup-compatibility/2006">
    <mc:Choice Requires="x15">
      <x15ac:absPath xmlns:x15ac="http://schemas.microsoft.com/office/spreadsheetml/2010/11/ac" url="C:\Users\ilija\PycharmProjects\GAD_REV09\"/>
    </mc:Choice>
  </mc:AlternateContent>
  <xr:revisionPtr revIDLastSave="0" documentId="13_ncr:1_{97A59D98-0C07-437C-ACF2-7AB40AA52AA1}" xr6:coauthVersionLast="47" xr6:coauthVersionMax="47" xr10:uidLastSave="{00000000-0000-0000-0000-000000000000}"/>
  <bookViews>
    <workbookView xWindow="-108" yWindow="-108" windowWidth="23256" windowHeight="12456" tabRatio="311" activeTab="1" xr2:uid="{00000000-000D-0000-FFFF-FFFF00000000}"/>
  </bookViews>
  <sheets>
    <sheet name="Interfaccia di selezione" sheetId="5" r:id="rId1"/>
    <sheet name="INSTALLATION" sheetId="4" r:id="rId2"/>
    <sheet name="Tabelle" sheetId="3" r:id="rId3"/>
    <sheet name="RegistroModifiche" sheetId="6" r:id="rId4"/>
  </sheets>
  <definedNames>
    <definedName name="_Hlk7075375" localSheetId="1">INSTALLATION!$C$598</definedName>
    <definedName name="_Ref20146285" localSheetId="1">INSTALLATION!$B$184</definedName>
    <definedName name="_Ref533175827" localSheetId="1">INSTALLATION!$B$180</definedName>
    <definedName name="_Toc201825353" localSheetId="1">INSTALLATION!$C$164</definedName>
    <definedName name="_Toc201825354" localSheetId="1">INSTALLATION!$C$171</definedName>
    <definedName name="_Toc201825362" localSheetId="1">INSTALLATION!$C$224</definedName>
    <definedName name="_Toc201825363" localSheetId="1">INSTALLATION!$C$229</definedName>
    <definedName name="_Toc201825364" localSheetId="1">INSTALLATION!$C$236</definedName>
    <definedName name="_Toc201825366" localSheetId="1">INSTALLATION!$C$294</definedName>
    <definedName name="_Toc201825368" localSheetId="1">INSTALLATION!$C$311</definedName>
    <definedName name="_Toc201825370" localSheetId="1">INSTALLATION!$C$314</definedName>
    <definedName name="_Toc201825371" localSheetId="1">INSTALLATION!$C$317</definedName>
    <definedName name="_Toc201825390" localSheetId="1">INSTALLATION!$C$394</definedName>
    <definedName name="_Toc201825400" localSheetId="1">INSTALLATION!$C$447</definedName>
    <definedName name="_Toc201825402" localSheetId="1">INSTALLATION!$C$450</definedName>
    <definedName name="_Toc201825403" localSheetId="1">INSTALLATION!$C$454</definedName>
    <definedName name="_Toc201825404" localSheetId="1">INSTALLATION!$C$456</definedName>
    <definedName name="_Toc201825405" localSheetId="1">INSTALLATION!$C$458</definedName>
    <definedName name="_Toc201825407" localSheetId="1">INSTALLATION!$C$470</definedName>
    <definedName name="_Toc201825408" localSheetId="1">INSTALLATION!$C$472</definedName>
    <definedName name="_Toc201825409" localSheetId="1">INSTALLATION!$C$474</definedName>
    <definedName name="_Toc201825410" localSheetId="1">INSTALLATION!$C$476</definedName>
    <definedName name="_Toc201825411" localSheetId="1">INSTALLATION!$C$488</definedName>
    <definedName name="_Toc201825412" localSheetId="1">INSTALLATION!$C$480</definedName>
    <definedName name="_Toc201825414" localSheetId="1">INSTALLATION!$C$490</definedName>
    <definedName name="_Toc201825415" localSheetId="1">INSTALLATION!$C$492</definedName>
    <definedName name="_Toc201825416" localSheetId="1">INSTALLATION!$C$494</definedName>
    <definedName name="_Toc201825417" localSheetId="1">INSTALLATION!$C$496</definedName>
    <definedName name="_Toc201825418" localSheetId="1">INSTALLATION!$C$498</definedName>
    <definedName name="_Toc201825419" localSheetId="1">INSTALLATION!$C$500</definedName>
    <definedName name="_Toc201825420" localSheetId="1">INSTALLATION!$C$502</definedName>
    <definedName name="_Toc201825421" localSheetId="1">INSTALLATION!$C$503</definedName>
    <definedName name="_Toc201825423" localSheetId="1">INSTALLATION!$C$512</definedName>
    <definedName name="_Toc201825426" localSheetId="1">INSTALLATION!$C$539</definedName>
    <definedName name="_Toc201825428" localSheetId="1">INSTALLATION!$C$552</definedName>
    <definedName name="_Toc201825430" localSheetId="1">INSTALLATION!$C$588</definedName>
    <definedName name="_Toc201825431" localSheetId="1">INSTALLATION!$C$595</definedName>
    <definedName name="_Toc201825432" localSheetId="1">INSTALLATION!$C$597</definedName>
    <definedName name="_Toc201825433" localSheetId="1">INSTALLATION!$C$599</definedName>
    <definedName name="_Toc201825434" localSheetId="1">INSTALLATION!$C$604</definedName>
    <definedName name="_Toc201825435" localSheetId="1">INSTALLATION!$C$626</definedName>
    <definedName name="_Toc201825437" localSheetId="1">INSTALLATION!$C$630</definedName>
    <definedName name="_Toc201825438" localSheetId="1">INSTALLATION!$C$635</definedName>
    <definedName name="_Toc201825439" localSheetId="1">INSTALLATION!$C$640</definedName>
    <definedName name="_Toc201825445" localSheetId="1">INSTALLATION!$C$654</definedName>
    <definedName name="_Toc201826118" localSheetId="1">INSTALLATION!$B$4</definedName>
    <definedName name="_Toc201826119" localSheetId="1">INSTALLATION!$B$18</definedName>
    <definedName name="_Toc201826120" localSheetId="1">INSTALLATION!$B$20</definedName>
    <definedName name="_Toc201826121" localSheetId="1">INSTALLATION!$B$23</definedName>
    <definedName name="_Toc201826122" localSheetId="1">INSTALLATION!$B$24</definedName>
    <definedName name="_Toc201826123" localSheetId="1">INSTALLATION!$B$26</definedName>
    <definedName name="_Toc201826124" localSheetId="1">INSTALLATION!$B$76</definedName>
    <definedName name="_Toc201826125" localSheetId="1">INSTALLATION!$B$84</definedName>
    <definedName name="_Toc201826126" localSheetId="1">INSTALLATION!$B$136</definedName>
    <definedName name="_Toc201826127" localSheetId="1">INSTALLATION!$B$141</definedName>
    <definedName name="_Toc201826128" localSheetId="1">INSTALLATION!$B$142</definedName>
    <definedName name="_Toc201826130" localSheetId="1">INSTALLATION!$B$164</definedName>
    <definedName name="_Toc201826131" localSheetId="1">INSTALLATION!$B$171</definedName>
    <definedName name="_Toc201826176" localSheetId="1">INSTALLATION!#REF!</definedName>
    <definedName name="_Toc201826177" localSheetId="1">INSTALLATION!$B$450</definedName>
    <definedName name="_Toc201826178" localSheetId="1">INSTALLATION!$B$452</definedName>
    <definedName name="_Toc201826179" localSheetId="1">INSTALLATION!$B$454</definedName>
    <definedName name="_Toc201826180" localSheetId="1">INSTALLATION!$B$456</definedName>
    <definedName name="_Toc201826181" localSheetId="1">INSTALLATION!$B$458</definedName>
    <definedName name="_Toc201826182" localSheetId="1">INSTALLATION!$B$468</definedName>
    <definedName name="_Toc201826183" localSheetId="1">INSTALLATION!$B$470</definedName>
    <definedName name="_Toc201826184" localSheetId="1">INSTALLATION!$B$472</definedName>
    <definedName name="_Toc201826185" localSheetId="1">INSTALLATION!$B$474</definedName>
    <definedName name="_Toc201826186" localSheetId="1">INSTALLATION!$B$476</definedName>
    <definedName name="_Toc201826189" localSheetId="1">INSTALLATION!$B$488</definedName>
    <definedName name="_Toc201826190" localSheetId="1">INSTALLATION!$B$490</definedName>
    <definedName name="_Toc201826191" localSheetId="1">INSTALLATION!$B$492</definedName>
    <definedName name="_Toc201826192" localSheetId="1">INSTALLATION!$B$494</definedName>
    <definedName name="_Toc201826193" localSheetId="1">INSTALLATION!$B$496</definedName>
    <definedName name="_Toc201826194" localSheetId="1">INSTALLATION!$B$498</definedName>
    <definedName name="_Toc201826195" localSheetId="1">INSTALLATION!$B$500</definedName>
    <definedName name="_Toc201826197" localSheetId="1">INSTALLATION!$B$503</definedName>
    <definedName name="_Toc201826199" localSheetId="1">INSTALLATION!$B$512</definedName>
    <definedName name="_Toc22741556" localSheetId="1">INSTALLATION!$C$468</definedName>
    <definedName name="_Toc22741575" localSheetId="1">INSTALLATION!$C$586</definedName>
    <definedName name="_Toc6856232" localSheetId="1">INSTALLATION!$C$611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55" i="6" l="1"/>
  <c r="D172" i="6"/>
  <c r="D186" i="6"/>
  <c r="D222" i="6"/>
  <c r="D225" i="6"/>
  <c r="D137" i="6"/>
  <c r="D214" i="6"/>
  <c r="D148" i="6"/>
  <c r="D136" i="6"/>
  <c r="D206" i="6"/>
  <c r="D170" i="6"/>
  <c r="D142" i="6"/>
  <c r="D133" i="6"/>
  <c r="D132" i="6"/>
  <c r="D157" i="6"/>
  <c r="D141" i="6"/>
  <c r="D152" i="6"/>
  <c r="D227" i="6"/>
  <c r="D144" i="6"/>
  <c r="D180" i="6"/>
  <c r="D235" i="6"/>
  <c r="D151" i="6"/>
  <c r="D202" i="6"/>
  <c r="D213" i="6"/>
  <c r="D149" i="6"/>
  <c r="D138" i="6"/>
  <c r="D187" i="6"/>
  <c r="D174" i="6"/>
  <c r="D153" i="6"/>
  <c r="D207" i="6"/>
  <c r="D192" i="6"/>
  <c r="D200" i="6"/>
  <c r="D230" i="6"/>
  <c r="D147" i="6"/>
  <c r="D130" i="6"/>
  <c r="D201" i="6"/>
  <c r="D169" i="6"/>
  <c r="D173" i="6"/>
  <c r="D218" i="6"/>
  <c r="D171" i="6"/>
  <c r="D164" i="6"/>
  <c r="D176" i="6"/>
  <c r="D184" i="6"/>
  <c r="D139" i="6"/>
  <c r="D146" i="6"/>
  <c r="D236" i="6"/>
  <c r="D229" i="6"/>
  <c r="D239" i="6"/>
  <c r="D134" i="6"/>
  <c r="D217" i="6"/>
  <c r="D215" i="6"/>
  <c r="D233" i="6"/>
  <c r="D185" i="6"/>
  <c r="D193" i="6"/>
  <c r="D237" i="6"/>
  <c r="D205" i="6"/>
  <c r="D167" i="6"/>
  <c r="D191" i="6"/>
  <c r="D182" i="6"/>
  <c r="D231" i="6"/>
  <c r="D224" i="6"/>
  <c r="D156" i="6"/>
  <c r="D158" i="6"/>
  <c r="D189" i="6"/>
  <c r="D194" i="6"/>
  <c r="D226" i="6"/>
  <c r="D196" i="6"/>
  <c r="D183" i="6"/>
  <c r="D219" i="6"/>
  <c r="D211" i="6"/>
  <c r="D162" i="6"/>
  <c r="D234" i="6"/>
  <c r="D209" i="6"/>
  <c r="D195" i="6"/>
  <c r="D166" i="6"/>
  <c r="D145" i="6"/>
  <c r="D131" i="6"/>
  <c r="D143" i="6"/>
  <c r="D161" i="6"/>
  <c r="D135" i="6"/>
  <c r="D238" i="6"/>
  <c r="D208" i="6"/>
  <c r="D154" i="6"/>
  <c r="D190" i="6"/>
  <c r="D168" i="6"/>
  <c r="D216" i="6"/>
  <c r="D223" i="6"/>
  <c r="D177" i="6"/>
  <c r="D210" i="6"/>
  <c r="D188" i="6"/>
  <c r="D163" i="6"/>
  <c r="D140" i="6"/>
  <c r="D175" i="6"/>
  <c r="D181" i="6"/>
  <c r="C220" i="4" l="1"/>
  <c r="C219" i="4"/>
  <c r="C218" i="4"/>
  <c r="C28" i="4"/>
  <c r="B28" i="4"/>
  <c r="C31" i="4"/>
  <c r="B31" i="4"/>
  <c r="C290" i="4"/>
  <c r="B290" i="4"/>
  <c r="D111" i="6"/>
  <c r="D119" i="6"/>
  <c r="D2" i="6"/>
  <c r="D67" i="6"/>
  <c r="D10" i="6"/>
  <c r="D85" i="6"/>
  <c r="D45" i="6"/>
  <c r="D114" i="6"/>
  <c r="D53" i="6"/>
  <c r="D24" i="6"/>
  <c r="D11" i="6"/>
  <c r="D99" i="6"/>
  <c r="D29" i="6"/>
  <c r="D3" i="6"/>
  <c r="D89" i="6"/>
  <c r="D25" i="6"/>
  <c r="D33" i="6"/>
  <c r="D76" i="6"/>
  <c r="D57" i="6"/>
  <c r="D17" i="6"/>
  <c r="D18" i="6"/>
  <c r="D50" i="6"/>
  <c r="D116" i="6"/>
  <c r="D78" i="6"/>
  <c r="D55" i="6"/>
  <c r="D118" i="6"/>
  <c r="D100" i="6"/>
  <c r="D43" i="6"/>
  <c r="D31" i="6"/>
  <c r="D102" i="6"/>
  <c r="D82" i="6"/>
  <c r="D37" i="6"/>
  <c r="D52" i="6"/>
  <c r="D117" i="6"/>
  <c r="D60" i="6"/>
  <c r="D96" i="6"/>
  <c r="D6" i="6"/>
  <c r="D26" i="6"/>
  <c r="D48" i="6"/>
  <c r="D75" i="6"/>
  <c r="D101" i="6"/>
  <c r="D104" i="6"/>
  <c r="D38" i="6"/>
  <c r="D90" i="6"/>
  <c r="D65" i="6"/>
  <c r="D122" i="6"/>
  <c r="D30" i="6"/>
  <c r="D5" i="6"/>
  <c r="D62" i="6"/>
  <c r="D91" i="6"/>
  <c r="D115" i="6"/>
  <c r="D44" i="6"/>
  <c r="D54" i="6"/>
  <c r="D110" i="6"/>
  <c r="D4" i="6"/>
  <c r="D9" i="6"/>
  <c r="D126" i="6"/>
  <c r="D120" i="6"/>
  <c r="D14" i="6"/>
  <c r="D113" i="6"/>
  <c r="D56" i="6"/>
  <c r="D112" i="6"/>
  <c r="D74" i="6"/>
  <c r="D61" i="6"/>
  <c r="D71" i="6"/>
  <c r="D23" i="6"/>
  <c r="D64" i="6"/>
  <c r="D41" i="6"/>
  <c r="D34" i="6"/>
  <c r="D42" i="6"/>
  <c r="D103" i="6"/>
  <c r="D39" i="6"/>
  <c r="D72" i="6"/>
  <c r="D94" i="6"/>
  <c r="D83" i="6"/>
  <c r="D27" i="6"/>
  <c r="D69" i="6"/>
  <c r="D109" i="6"/>
  <c r="D51" i="6"/>
  <c r="D21" i="6"/>
  <c r="D16" i="6"/>
  <c r="D8" i="6"/>
  <c r="D28" i="6"/>
  <c r="D49" i="6"/>
  <c r="D19" i="6"/>
  <c r="D106" i="6"/>
  <c r="D93" i="6"/>
  <c r="D121" i="6"/>
  <c r="D13" i="6"/>
  <c r="D79" i="6"/>
  <c r="D107" i="6"/>
  <c r="D108" i="6"/>
  <c r="D58" i="6"/>
  <c r="D12" i="6"/>
  <c r="D35" i="6"/>
  <c r="D15" i="6"/>
  <c r="D95" i="6"/>
  <c r="D105" i="6"/>
  <c r="D127" i="6"/>
  <c r="D92" i="6"/>
  <c r="D20" i="6"/>
  <c r="D22" i="6"/>
  <c r="D81" i="6"/>
  <c r="D7" i="6"/>
  <c r="D66" i="6"/>
  <c r="D70" i="6"/>
  <c r="D84" i="6"/>
  <c r="D32" i="6"/>
  <c r="D40" i="6"/>
  <c r="D36" i="6"/>
  <c r="C405" i="4" l="1"/>
  <c r="C399" i="4"/>
  <c r="C392" i="4"/>
  <c r="C375" i="4"/>
  <c r="B405" i="4"/>
  <c r="B399" i="4"/>
  <c r="B392" i="4"/>
  <c r="B375" i="4" l="1"/>
  <c r="B220" i="4" l="1"/>
  <c r="B219" i="4"/>
  <c r="B218" i="4"/>
  <c r="C79" i="4"/>
  <c r="B79" i="4"/>
  <c r="C29" i="4"/>
  <c r="C27" i="4"/>
  <c r="B29" i="4"/>
  <c r="B27" i="4"/>
  <c r="C78" i="4"/>
  <c r="B78" i="4"/>
  <c r="B173" i="4" l="1"/>
  <c r="B176" i="4"/>
  <c r="I5" i="5"/>
  <c r="K5" i="5"/>
  <c r="J5" i="5"/>
  <c r="D11" i="3" l="1"/>
  <c r="X49" i="3"/>
  <c r="C21" i="3"/>
  <c r="C60" i="3"/>
  <c r="F295" i="3"/>
  <c r="C295" i="3"/>
  <c r="G295" i="3"/>
  <c r="C257" i="3"/>
  <c r="E295" i="3"/>
  <c r="D295" i="3"/>
  <c r="B298" i="3"/>
  <c r="F256" i="3"/>
  <c r="C255" i="3"/>
  <c r="B293" i="3"/>
  <c r="D256" i="3"/>
  <c r="E255" i="3"/>
  <c r="B297" i="3"/>
  <c r="B255" i="3"/>
  <c r="E256" i="3"/>
  <c r="F255" i="3"/>
  <c r="B292" i="3"/>
  <c r="C256" i="3"/>
  <c r="D255" i="3"/>
  <c r="A213" i="3"/>
  <c r="D214" i="3"/>
  <c r="B213" i="3"/>
  <c r="E214" i="3"/>
  <c r="B214" i="3"/>
  <c r="F214" i="3"/>
  <c r="C214" i="3"/>
  <c r="B95" i="3"/>
  <c r="B300" i="3"/>
  <c r="B295" i="3"/>
  <c r="B257" i="3"/>
  <c r="D257" i="3"/>
  <c r="B216" i="3"/>
  <c r="E257" i="3"/>
  <c r="F257" i="3"/>
  <c r="C216" i="3"/>
  <c r="D216" i="3"/>
  <c r="F216" i="3"/>
  <c r="E216" i="3"/>
  <c r="A216" i="3"/>
  <c r="B4" i="3"/>
  <c r="C178" i="3"/>
  <c r="B178" i="3"/>
  <c r="F134" i="3"/>
  <c r="E59" i="3"/>
  <c r="E134" i="3"/>
  <c r="B59" i="3"/>
  <c r="C134" i="3"/>
  <c r="B134" i="3"/>
  <c r="C59" i="3"/>
  <c r="D134" i="3"/>
  <c r="C177" i="3"/>
  <c r="B177" i="3"/>
  <c r="E60" i="3"/>
  <c r="B135" i="3"/>
  <c r="G13" i="3"/>
  <c r="E11" i="3"/>
  <c r="D7" i="3"/>
  <c r="C5" i="3"/>
  <c r="B7" i="3"/>
  <c r="H7" i="3"/>
  <c r="F5" i="3"/>
  <c r="G11" i="3"/>
  <c r="E7" i="3"/>
  <c r="F13" i="3"/>
  <c r="C7" i="3"/>
  <c r="B5" i="3"/>
  <c r="G7" i="3"/>
  <c r="E5" i="3"/>
  <c r="E13" i="3"/>
  <c r="C11" i="3"/>
  <c r="G5" i="3"/>
  <c r="H11" i="3"/>
  <c r="D13" i="3"/>
  <c r="B11" i="3"/>
  <c r="H5" i="3"/>
  <c r="C13" i="3"/>
  <c r="B13" i="3"/>
  <c r="F7" i="3"/>
  <c r="D5" i="3"/>
  <c r="F11" i="3"/>
  <c r="H13" i="3"/>
  <c r="E23" i="3"/>
  <c r="B30" i="3" s="1"/>
  <c r="B10" i="3"/>
  <c r="B14" i="3"/>
  <c r="G12" i="3"/>
  <c r="C6" i="3"/>
  <c r="F8" i="3"/>
  <c r="F12" i="3"/>
  <c r="B6" i="3"/>
  <c r="G8" i="3"/>
  <c r="D6" i="3"/>
  <c r="H14" i="3"/>
  <c r="E12" i="3"/>
  <c r="H8" i="3"/>
  <c r="G14" i="3"/>
  <c r="D12" i="3"/>
  <c r="H6" i="3"/>
  <c r="F14" i="3"/>
  <c r="C12" i="3"/>
  <c r="G6" i="3"/>
  <c r="B8" i="3"/>
  <c r="E14" i="3"/>
  <c r="B12" i="3"/>
  <c r="F6" i="3"/>
  <c r="C8" i="3"/>
  <c r="C14" i="3"/>
  <c r="H12" i="3"/>
  <c r="D14" i="3"/>
  <c r="E6" i="3"/>
  <c r="D8" i="3"/>
  <c r="E8" i="3"/>
  <c r="B21" i="3"/>
  <c r="X41" i="3"/>
  <c r="X45" i="3"/>
  <c r="X40" i="3"/>
  <c r="X25" i="3"/>
  <c r="X29" i="3"/>
  <c r="X33" i="3"/>
  <c r="X37" i="3"/>
  <c r="X42" i="3"/>
  <c r="X46" i="3"/>
  <c r="X22" i="3"/>
  <c r="X26" i="3"/>
  <c r="X30" i="3"/>
  <c r="X34" i="3"/>
  <c r="X38" i="3"/>
  <c r="X43" i="3"/>
  <c r="X47" i="3"/>
  <c r="X23" i="3"/>
  <c r="X27" i="3"/>
  <c r="X31" i="3"/>
  <c r="X35" i="3"/>
  <c r="X39" i="3"/>
  <c r="X44" i="3"/>
  <c r="X48" i="3"/>
  <c r="X24" i="3"/>
  <c r="X28" i="3"/>
  <c r="X32" i="3"/>
  <c r="X36" i="3"/>
  <c r="X21" i="3"/>
  <c r="E31" i="3"/>
  <c r="D33" i="3"/>
  <c r="B29" i="3"/>
  <c r="B31" i="3"/>
  <c r="F31" i="3"/>
  <c r="E33" i="3"/>
  <c r="C33" i="3"/>
  <c r="C31" i="3"/>
  <c r="B33" i="3"/>
  <c r="F33" i="3"/>
  <c r="D31" i="3"/>
  <c r="B19" i="3"/>
  <c r="I23" i="3"/>
  <c r="I21" i="3"/>
  <c r="E21" i="3"/>
  <c r="G21" i="3"/>
  <c r="B23" i="3"/>
  <c r="H23" i="3"/>
  <c r="D23" i="3"/>
  <c r="H21" i="3"/>
  <c r="C23" i="3"/>
  <c r="F23" i="3"/>
  <c r="F21" i="3"/>
  <c r="G23" i="3"/>
  <c r="F135" i="3"/>
  <c r="E135" i="3"/>
  <c r="D135" i="3"/>
  <c r="C135" i="3"/>
  <c r="B20" i="3"/>
  <c r="F20" i="3"/>
  <c r="B22" i="3"/>
  <c r="F22" i="3"/>
  <c r="I20" i="3"/>
  <c r="C20" i="3"/>
  <c r="G20" i="3"/>
  <c r="C22" i="3"/>
  <c r="G22" i="3"/>
  <c r="E22" i="3"/>
  <c r="D20" i="3"/>
  <c r="H20" i="3"/>
  <c r="D22" i="3"/>
  <c r="H22" i="3"/>
  <c r="E20" i="3"/>
  <c r="I22" i="3"/>
  <c r="B98" i="3"/>
  <c r="B60" i="3"/>
  <c r="D21" i="3" l="1"/>
  <c r="D34" i="3"/>
  <c r="E32" i="3"/>
  <c r="C34" i="3"/>
  <c r="D32" i="3"/>
  <c r="F34" i="3"/>
  <c r="B34" i="3"/>
  <c r="C32" i="3"/>
  <c r="E34" i="3"/>
  <c r="F32" i="3"/>
  <c r="B32" i="3"/>
  <c r="C98" i="3" l="1"/>
  <c r="H98" i="3"/>
  <c r="G98" i="3"/>
  <c r="F98" i="3"/>
  <c r="E98" i="3"/>
  <c r="D98" i="3"/>
  <c r="D96" i="3"/>
  <c r="E96" i="3"/>
  <c r="F96" i="3"/>
  <c r="G96" i="3"/>
  <c r="H96" i="3"/>
  <c r="C96" i="3"/>
  <c r="C95" i="3"/>
  <c r="F95" i="3"/>
  <c r="C176" i="4" l="1"/>
  <c r="C173" i="4"/>
</calcChain>
</file>

<file path=xl/sharedStrings.xml><?xml version="1.0" encoding="utf-8"?>
<sst xmlns="http://schemas.openxmlformats.org/spreadsheetml/2006/main" count="3692" uniqueCount="1589">
  <si>
    <t>A</t>
  </si>
  <si>
    <t>G</t>
  </si>
  <si>
    <t>Modello</t>
  </si>
  <si>
    <t>IMBALLATA</t>
  </si>
  <si>
    <t>DISIMBALLATA</t>
  </si>
  <si>
    <t>Larghezza</t>
  </si>
  <si>
    <t>Profondità</t>
  </si>
  <si>
    <t>Altezza</t>
  </si>
  <si>
    <t>Altezza (*)</t>
  </si>
  <si>
    <t>[mm]</t>
  </si>
  <si>
    <t>AVVERTENZE IMPORTANTI</t>
  </si>
  <si>
    <t>Porre attenzione affinché la macchina non subisca urti accidentali durante la movimentazione.</t>
  </si>
  <si>
    <t>Al fine di garantire l’incolumità dei lavoratori, di terzi e di cose, la movimentazione della macchina deve essere effettuata da figure idonee ed usando mezzi adeguati, nel rispetto della normativa sulla sicurezza vigente.</t>
  </si>
  <si>
    <r>
      <t>T</t>
    </r>
    <r>
      <rPr>
        <sz val="12"/>
        <color rgb="FF000000"/>
        <rFont val="Calibri"/>
        <family val="2"/>
      </rPr>
      <t>10</t>
    </r>
    <r>
      <rPr>
        <sz val="12"/>
        <rFont val="Calibri"/>
        <family val="2"/>
      </rPr>
      <t xml:space="preserve"> W</t>
    </r>
  </si>
  <si>
    <r>
      <t>T</t>
    </r>
    <r>
      <rPr>
        <sz val="12"/>
        <color rgb="FF000000"/>
        <rFont val="Calibri"/>
        <family val="2"/>
      </rPr>
      <t>10</t>
    </r>
    <r>
      <rPr>
        <b/>
        <sz val="12"/>
        <color rgb="FF0070C0"/>
        <rFont val="Calibri"/>
        <family val="2"/>
      </rPr>
      <t xml:space="preserve"> </t>
    </r>
    <r>
      <rPr>
        <sz val="12"/>
        <rFont val="Calibri"/>
        <family val="2"/>
      </rPr>
      <t>G</t>
    </r>
  </si>
  <si>
    <r>
      <t>T</t>
    </r>
    <r>
      <rPr>
        <sz val="12"/>
        <color rgb="FF000000"/>
        <rFont val="Calibri"/>
        <family val="2"/>
      </rPr>
      <t>10</t>
    </r>
    <r>
      <rPr>
        <b/>
        <sz val="12"/>
        <color rgb="FF0070C0"/>
        <rFont val="Calibri"/>
        <family val="2"/>
      </rPr>
      <t xml:space="preserve"> </t>
    </r>
    <r>
      <rPr>
        <sz val="12"/>
        <rFont val="Calibri"/>
        <family val="2"/>
      </rPr>
      <t>A</t>
    </r>
  </si>
  <si>
    <r>
      <t>T</t>
    </r>
    <r>
      <rPr>
        <sz val="12"/>
        <color rgb="FF000000"/>
        <rFont val="Calibri"/>
        <family val="2"/>
      </rPr>
      <t>30</t>
    </r>
    <r>
      <rPr>
        <sz val="12"/>
        <rFont val="Calibri"/>
        <family val="2"/>
      </rPr>
      <t xml:space="preserve"> W</t>
    </r>
  </si>
  <si>
    <r>
      <t>T</t>
    </r>
    <r>
      <rPr>
        <sz val="12"/>
        <color rgb="FF000000"/>
        <rFont val="Calibri"/>
        <family val="2"/>
      </rPr>
      <t>30</t>
    </r>
    <r>
      <rPr>
        <sz val="12"/>
        <rFont val="Calibri"/>
        <family val="2"/>
      </rPr>
      <t xml:space="preserve"> G</t>
    </r>
  </si>
  <si>
    <r>
      <t>T</t>
    </r>
    <r>
      <rPr>
        <sz val="12"/>
        <color rgb="FF000000"/>
        <rFont val="Calibri"/>
        <family val="2"/>
      </rPr>
      <t>30</t>
    </r>
    <r>
      <rPr>
        <sz val="12"/>
        <rFont val="Calibri"/>
        <family val="2"/>
      </rPr>
      <t xml:space="preserve"> A</t>
    </r>
  </si>
  <si>
    <r>
      <t>T</t>
    </r>
    <r>
      <rPr>
        <sz val="12"/>
        <rFont val="Calibri"/>
        <family val="2"/>
      </rPr>
      <t>5</t>
    </r>
    <r>
      <rPr>
        <sz val="12"/>
        <color rgb="FF000000"/>
        <rFont val="Calibri"/>
        <family val="2"/>
      </rPr>
      <t>0</t>
    </r>
    <r>
      <rPr>
        <sz val="12"/>
        <rFont val="Calibri"/>
        <family val="2"/>
      </rPr>
      <t xml:space="preserve"> A</t>
    </r>
  </si>
  <si>
    <r>
      <t>T</t>
    </r>
    <r>
      <rPr>
        <sz val="12"/>
        <rFont val="Calibri"/>
        <family val="2"/>
      </rPr>
      <t>6</t>
    </r>
    <r>
      <rPr>
        <sz val="12"/>
        <color rgb="FF000000"/>
        <rFont val="Calibri"/>
        <family val="2"/>
      </rPr>
      <t>0</t>
    </r>
    <r>
      <rPr>
        <sz val="12"/>
        <rFont val="Calibri"/>
        <family val="2"/>
      </rPr>
      <t xml:space="preserve"> W</t>
    </r>
  </si>
  <si>
    <r>
      <t>T</t>
    </r>
    <r>
      <rPr>
        <sz val="12"/>
        <color rgb="FF000000"/>
        <rFont val="Calibri"/>
        <family val="2"/>
      </rPr>
      <t>60</t>
    </r>
    <r>
      <rPr>
        <sz val="12"/>
        <rFont val="Calibri"/>
        <family val="2"/>
      </rPr>
      <t xml:space="preserve"> G</t>
    </r>
  </si>
  <si>
    <r>
      <t>T</t>
    </r>
    <r>
      <rPr>
        <sz val="12"/>
        <color rgb="FF000000"/>
        <rFont val="Calibri"/>
        <family val="2"/>
      </rPr>
      <t>60</t>
    </r>
    <r>
      <rPr>
        <sz val="12"/>
        <rFont val="Calibri"/>
        <family val="2"/>
      </rPr>
      <t xml:space="preserve"> A</t>
    </r>
  </si>
  <si>
    <r>
      <t>T</t>
    </r>
    <r>
      <rPr>
        <sz val="12"/>
        <rFont val="Calibri"/>
        <family val="2"/>
      </rPr>
      <t>7</t>
    </r>
    <r>
      <rPr>
        <sz val="12"/>
        <color rgb="FF000000"/>
        <rFont val="Calibri"/>
        <family val="2"/>
      </rPr>
      <t>0</t>
    </r>
    <r>
      <rPr>
        <sz val="12"/>
        <rFont val="Calibri"/>
        <family val="2"/>
      </rPr>
      <t>-DC A</t>
    </r>
  </si>
  <si>
    <r>
      <t>T</t>
    </r>
    <r>
      <rPr>
        <sz val="12"/>
        <color rgb="FF000000"/>
        <rFont val="Calibri"/>
        <family val="2"/>
      </rPr>
      <t>115</t>
    </r>
    <r>
      <rPr>
        <b/>
        <sz val="12"/>
        <color rgb="FF0070C0"/>
        <rFont val="Calibri"/>
        <family val="2"/>
      </rPr>
      <t xml:space="preserve"> </t>
    </r>
    <r>
      <rPr>
        <sz val="12"/>
        <rFont val="Calibri"/>
        <family val="2"/>
      </rPr>
      <t>W</t>
    </r>
  </si>
  <si>
    <r>
      <t>T</t>
    </r>
    <r>
      <rPr>
        <sz val="12"/>
        <color rgb="FF000000"/>
        <rFont val="Calibri"/>
        <family val="2"/>
      </rPr>
      <t>115</t>
    </r>
    <r>
      <rPr>
        <b/>
        <sz val="12"/>
        <color rgb="FF0070C0"/>
        <rFont val="Calibri"/>
        <family val="2"/>
      </rPr>
      <t xml:space="preserve"> </t>
    </r>
    <r>
      <rPr>
        <sz val="12"/>
        <rFont val="Calibri"/>
        <family val="2"/>
      </rPr>
      <t>G</t>
    </r>
  </si>
  <si>
    <r>
      <t>T</t>
    </r>
    <r>
      <rPr>
        <sz val="12"/>
        <color rgb="FF000000"/>
        <rFont val="Calibri"/>
        <family val="2"/>
      </rPr>
      <t>115</t>
    </r>
    <r>
      <rPr>
        <b/>
        <sz val="12"/>
        <color rgb="FF0070C0"/>
        <rFont val="Calibri"/>
        <family val="2"/>
      </rPr>
      <t xml:space="preserve"> </t>
    </r>
    <r>
      <rPr>
        <sz val="12"/>
        <rFont val="Calibri"/>
        <family val="2"/>
      </rPr>
      <t>A</t>
    </r>
  </si>
  <si>
    <t>La tabella sotto riportata indica i pesi delle varie macchine. La macchina viene consegnata carica di olio e refrigerante.</t>
  </si>
  <si>
    <t>(*) Al valore indicato in tabella occorre aggiungere l'altezza dei supporti antivibranti variabile fra 60 e 110 mm.</t>
  </si>
  <si>
    <t xml:space="preserve">Modello </t>
  </si>
  <si>
    <t>Peso a vuoto [kg]</t>
  </si>
  <si>
    <t>Peso olio [kg]</t>
  </si>
  <si>
    <t>Peso refrigerante [kg]</t>
  </si>
  <si>
    <t>Peso in esercizio [kg]</t>
  </si>
  <si>
    <t>Per la movimentazione utilizzare il carrello elevatore o il transpallet prestando attenzione a non urtare i supporti antivibranti e/o smontando questi ultimi prima di effettuare la movimentazione.</t>
  </si>
  <si>
    <t>MANUALE D'INSTALLAZIONE</t>
  </si>
  <si>
    <t>Sollevare l’unità di pochi centimetri e, solo dopo aver verificato la stabilità del carico, movimentare l’unità con cautela fino al luogo d’installazione. Durante il sollevamento e la movimentazione verificare che l’unità rimanga sempre verticale.Calare con cura la macchina affinché poggi sui piedini antivibranti. Durante la movimentazione avere cura di non interporre parti del corpo onde evitare il rischio di eventuali schiacciamenti o urti derivanti da cadute o movimenti repentini ed accidentali del carico. Durante la movimentazione avere cura di non interporre parti del corpo onde evitare il rischio di eventuali schiacciamenti o urti derivanti da cadute o movimenti repentini ed accidentali del carico.Dopo aver completato la movimentazione smontare le staffe di sollevamento avendo cura di riavvitare i bulloni precedentemente svitati ai longheroni della macchina.</t>
  </si>
  <si>
    <t>T</t>
  </si>
  <si>
    <t>Tutte</t>
  </si>
  <si>
    <t>S</t>
  </si>
  <si>
    <t>Ciclo singolo</t>
  </si>
  <si>
    <t>D</t>
  </si>
  <si>
    <t>M</t>
  </si>
  <si>
    <t>Monoblocco</t>
  </si>
  <si>
    <t>PdC air</t>
  </si>
  <si>
    <t>W</t>
  </si>
  <si>
    <t>PdC water</t>
  </si>
  <si>
    <t>PdC ground</t>
  </si>
  <si>
    <t>PI</t>
  </si>
  <si>
    <t>GR</t>
  </si>
  <si>
    <r>
      <t>T</t>
    </r>
    <r>
      <rPr>
        <sz val="12"/>
        <color rgb="FF000000"/>
        <rFont val="Calibri"/>
        <family val="2"/>
      </rPr>
      <t>140</t>
    </r>
    <r>
      <rPr>
        <sz val="12"/>
        <rFont val="Calibri"/>
        <family val="2"/>
      </rPr>
      <t>-DC A</t>
    </r>
  </si>
  <si>
    <r>
      <t>T</t>
    </r>
    <r>
      <rPr>
        <sz val="12"/>
        <color rgb="FF000000"/>
        <rFont val="Calibri"/>
        <family val="2"/>
      </rPr>
      <t>250-DC</t>
    </r>
    <r>
      <rPr>
        <b/>
        <sz val="12"/>
        <color rgb="FF0070C0"/>
        <rFont val="Calibri"/>
        <family val="2"/>
      </rPr>
      <t xml:space="preserve"> </t>
    </r>
    <r>
      <rPr>
        <sz val="12"/>
        <rFont val="Calibri"/>
        <family val="2"/>
      </rPr>
      <t>W</t>
    </r>
  </si>
  <si>
    <t>Codice macchina</t>
  </si>
  <si>
    <t>MODELLO</t>
  </si>
  <si>
    <t>CARICA REFRIGERANTE [kg]</t>
  </si>
  <si>
    <r>
      <t>RT</t>
    </r>
    <r>
      <rPr>
        <sz val="12"/>
        <color rgb="FF000000"/>
        <rFont val="Calibri"/>
        <family val="2"/>
      </rPr>
      <t>10</t>
    </r>
    <r>
      <rPr>
        <sz val="12"/>
        <rFont val="Calibri"/>
        <family val="2"/>
      </rPr>
      <t xml:space="preserve"> W</t>
    </r>
  </si>
  <si>
    <r>
      <t>RT</t>
    </r>
    <r>
      <rPr>
        <sz val="12"/>
        <color rgb="FF000000"/>
        <rFont val="Calibri"/>
        <family val="2"/>
      </rPr>
      <t>10</t>
    </r>
    <r>
      <rPr>
        <b/>
        <sz val="12"/>
        <color rgb="FF0070C0"/>
        <rFont val="Calibri"/>
        <family val="2"/>
      </rPr>
      <t xml:space="preserve"> </t>
    </r>
    <r>
      <rPr>
        <sz val="12"/>
        <rFont val="Calibri"/>
        <family val="2"/>
      </rPr>
      <t>G</t>
    </r>
  </si>
  <si>
    <r>
      <t>RT</t>
    </r>
    <r>
      <rPr>
        <sz val="12"/>
        <color rgb="FF000000"/>
        <rFont val="Calibri"/>
        <family val="2"/>
      </rPr>
      <t>10</t>
    </r>
    <r>
      <rPr>
        <b/>
        <sz val="12"/>
        <color rgb="FF0070C0"/>
        <rFont val="Calibri"/>
        <family val="2"/>
      </rPr>
      <t xml:space="preserve"> </t>
    </r>
    <r>
      <rPr>
        <sz val="12"/>
        <rFont val="Calibri"/>
        <family val="2"/>
      </rPr>
      <t>A</t>
    </r>
  </si>
  <si>
    <r>
      <t>RT</t>
    </r>
    <r>
      <rPr>
        <sz val="12"/>
        <color rgb="FF000000"/>
        <rFont val="Calibri"/>
        <family val="2"/>
      </rPr>
      <t>30</t>
    </r>
    <r>
      <rPr>
        <sz val="12"/>
        <rFont val="Calibri"/>
        <family val="2"/>
      </rPr>
      <t xml:space="preserve"> W</t>
    </r>
  </si>
  <si>
    <r>
      <t>RT</t>
    </r>
    <r>
      <rPr>
        <sz val="12"/>
        <color rgb="FF000000"/>
        <rFont val="Calibri"/>
        <family val="2"/>
      </rPr>
      <t>30</t>
    </r>
    <r>
      <rPr>
        <sz val="12"/>
        <rFont val="Calibri"/>
        <family val="2"/>
      </rPr>
      <t xml:space="preserve"> G</t>
    </r>
  </si>
  <si>
    <r>
      <t>RT</t>
    </r>
    <r>
      <rPr>
        <sz val="12"/>
        <color rgb="FF000000"/>
        <rFont val="Calibri"/>
        <family val="2"/>
      </rPr>
      <t>30</t>
    </r>
    <r>
      <rPr>
        <sz val="12"/>
        <rFont val="Calibri"/>
        <family val="2"/>
      </rPr>
      <t xml:space="preserve"> A</t>
    </r>
  </si>
  <si>
    <r>
      <t>RT</t>
    </r>
    <r>
      <rPr>
        <sz val="12"/>
        <rFont val="Calibri"/>
        <family val="2"/>
      </rPr>
      <t>5</t>
    </r>
    <r>
      <rPr>
        <sz val="12"/>
        <color rgb="FF000000"/>
        <rFont val="Calibri"/>
        <family val="2"/>
      </rPr>
      <t>0</t>
    </r>
    <r>
      <rPr>
        <sz val="12"/>
        <rFont val="Calibri"/>
        <family val="2"/>
      </rPr>
      <t xml:space="preserve"> A</t>
    </r>
  </si>
  <si>
    <r>
      <t>RT</t>
    </r>
    <r>
      <rPr>
        <sz val="12"/>
        <rFont val="Calibri"/>
        <family val="2"/>
      </rPr>
      <t>6</t>
    </r>
    <r>
      <rPr>
        <sz val="12"/>
        <color rgb="FF000000"/>
        <rFont val="Calibri"/>
        <family val="2"/>
      </rPr>
      <t>0</t>
    </r>
    <r>
      <rPr>
        <sz val="12"/>
        <rFont val="Calibri"/>
        <family val="2"/>
      </rPr>
      <t xml:space="preserve"> W</t>
    </r>
  </si>
  <si>
    <r>
      <t>RT</t>
    </r>
    <r>
      <rPr>
        <sz val="12"/>
        <color rgb="FF000000"/>
        <rFont val="Calibri"/>
        <family val="2"/>
      </rPr>
      <t>60</t>
    </r>
    <r>
      <rPr>
        <sz val="12"/>
        <rFont val="Calibri"/>
        <family val="2"/>
      </rPr>
      <t xml:space="preserve"> G</t>
    </r>
  </si>
  <si>
    <r>
      <t>RT</t>
    </r>
    <r>
      <rPr>
        <sz val="12"/>
        <color rgb="FF000000"/>
        <rFont val="Calibri"/>
        <family val="2"/>
      </rPr>
      <t>60</t>
    </r>
    <r>
      <rPr>
        <sz val="12"/>
        <rFont val="Calibri"/>
        <family val="2"/>
      </rPr>
      <t xml:space="preserve"> A</t>
    </r>
  </si>
  <si>
    <r>
      <t>RT</t>
    </r>
    <r>
      <rPr>
        <sz val="12"/>
        <rFont val="Calibri"/>
        <family val="2"/>
      </rPr>
      <t>7</t>
    </r>
    <r>
      <rPr>
        <sz val="12"/>
        <color rgb="FF000000"/>
        <rFont val="Calibri"/>
        <family val="2"/>
      </rPr>
      <t>0</t>
    </r>
    <r>
      <rPr>
        <sz val="12"/>
        <rFont val="Calibri"/>
        <family val="2"/>
      </rPr>
      <t>-DC A</t>
    </r>
  </si>
  <si>
    <r>
      <t>RT</t>
    </r>
    <r>
      <rPr>
        <sz val="12"/>
        <color rgb="FF000000"/>
        <rFont val="Calibri"/>
        <family val="2"/>
      </rPr>
      <t>115</t>
    </r>
    <r>
      <rPr>
        <b/>
        <sz val="12"/>
        <color rgb="FF0070C0"/>
        <rFont val="Calibri"/>
        <family val="2"/>
      </rPr>
      <t xml:space="preserve"> </t>
    </r>
    <r>
      <rPr>
        <sz val="12"/>
        <rFont val="Calibri"/>
        <family val="2"/>
      </rPr>
      <t>W</t>
    </r>
  </si>
  <si>
    <r>
      <t>RT</t>
    </r>
    <r>
      <rPr>
        <sz val="12"/>
        <color rgb="FF000000"/>
        <rFont val="Calibri"/>
        <family val="2"/>
      </rPr>
      <t>115</t>
    </r>
    <r>
      <rPr>
        <b/>
        <sz val="12"/>
        <color rgb="FF0070C0"/>
        <rFont val="Calibri"/>
        <family val="2"/>
      </rPr>
      <t xml:space="preserve"> </t>
    </r>
    <r>
      <rPr>
        <sz val="12"/>
        <rFont val="Calibri"/>
        <family val="2"/>
      </rPr>
      <t>G</t>
    </r>
  </si>
  <si>
    <r>
      <t>RT</t>
    </r>
    <r>
      <rPr>
        <sz val="12"/>
        <color rgb="FF000000"/>
        <rFont val="Calibri"/>
        <family val="2"/>
      </rPr>
      <t>115</t>
    </r>
    <r>
      <rPr>
        <b/>
        <sz val="12"/>
        <color rgb="FF0070C0"/>
        <rFont val="Calibri"/>
        <family val="2"/>
      </rPr>
      <t xml:space="preserve"> </t>
    </r>
    <r>
      <rPr>
        <sz val="12"/>
        <rFont val="Calibri"/>
        <family val="2"/>
      </rPr>
      <t>A</t>
    </r>
  </si>
  <si>
    <r>
      <t>RT</t>
    </r>
    <r>
      <rPr>
        <sz val="12"/>
        <color rgb="FF000000"/>
        <rFont val="Calibri"/>
        <family val="2"/>
      </rPr>
      <t>140</t>
    </r>
    <r>
      <rPr>
        <sz val="12"/>
        <rFont val="Calibri"/>
        <family val="2"/>
      </rPr>
      <t>-DC A</t>
    </r>
  </si>
  <si>
    <r>
      <t>RT</t>
    </r>
    <r>
      <rPr>
        <sz val="12"/>
        <color rgb="FF000000"/>
        <rFont val="Calibri"/>
        <family val="2"/>
      </rPr>
      <t>250-DC</t>
    </r>
    <r>
      <rPr>
        <b/>
        <sz val="12"/>
        <color rgb="FF0070C0"/>
        <rFont val="Calibri"/>
        <family val="2"/>
      </rPr>
      <t xml:space="preserve"> </t>
    </r>
    <r>
      <rPr>
        <sz val="12"/>
        <rFont val="Calibri"/>
        <family val="2"/>
      </rPr>
      <t>W</t>
    </r>
  </si>
  <si>
    <t>T/RT (T=0; RT=1)</t>
  </si>
  <si>
    <r>
      <t>(R)T</t>
    </r>
    <r>
      <rPr>
        <sz val="12"/>
        <color rgb="FF000000"/>
        <rFont val="Calibri"/>
        <family val="2"/>
      </rPr>
      <t>10</t>
    </r>
    <r>
      <rPr>
        <sz val="12"/>
        <rFont val="Calibri"/>
        <family val="2"/>
      </rPr>
      <t xml:space="preserve"> W</t>
    </r>
  </si>
  <si>
    <r>
      <t>T</t>
    </r>
    <r>
      <rPr>
        <sz val="12"/>
        <rFont val="Calibri"/>
        <family val="2"/>
      </rPr>
      <t>200</t>
    </r>
    <r>
      <rPr>
        <b/>
        <sz val="12"/>
        <color rgb="FF0070C0"/>
        <rFont val="Calibri"/>
        <family val="2"/>
      </rPr>
      <t xml:space="preserve"> </t>
    </r>
    <r>
      <rPr>
        <sz val="12"/>
        <color theme="1"/>
        <rFont val="Calibri"/>
        <family val="2"/>
      </rPr>
      <t>A</t>
    </r>
  </si>
  <si>
    <r>
      <t>T</t>
    </r>
    <r>
      <rPr>
        <sz val="12"/>
        <color rgb="FF000000"/>
        <rFont val="Calibri"/>
        <family val="2"/>
      </rPr>
      <t>250</t>
    </r>
    <r>
      <rPr>
        <b/>
        <sz val="12"/>
        <color rgb="FF0070C0"/>
        <rFont val="Calibri"/>
        <family val="2"/>
      </rPr>
      <t xml:space="preserve"> </t>
    </r>
    <r>
      <rPr>
        <sz val="12"/>
        <color theme="1"/>
        <rFont val="Calibri"/>
        <family val="2"/>
      </rPr>
      <t>W</t>
    </r>
  </si>
  <si>
    <r>
      <t>T</t>
    </r>
    <r>
      <rPr>
        <sz val="12"/>
        <color rgb="FF000000"/>
        <rFont val="Calibri"/>
        <family val="2"/>
      </rPr>
      <t>250</t>
    </r>
    <r>
      <rPr>
        <sz val="12"/>
        <color theme="1"/>
        <rFont val="Calibri"/>
        <family val="2"/>
      </rPr>
      <t xml:space="preserve"> G</t>
    </r>
  </si>
  <si>
    <r>
      <t>T</t>
    </r>
    <r>
      <rPr>
        <sz val="12"/>
        <color rgb="FF000000"/>
        <rFont val="Calibri"/>
        <family val="2"/>
      </rPr>
      <t>250</t>
    </r>
    <r>
      <rPr>
        <sz val="12"/>
        <color theme="1"/>
        <rFont val="Calibri"/>
        <family val="2"/>
      </rPr>
      <t xml:space="preserve"> A</t>
    </r>
  </si>
  <si>
    <r>
      <t>T</t>
    </r>
    <r>
      <rPr>
        <sz val="12"/>
        <color rgb="FF000000"/>
        <rFont val="Calibri"/>
        <family val="2"/>
      </rPr>
      <t>350</t>
    </r>
    <r>
      <rPr>
        <sz val="12"/>
        <color theme="1"/>
        <rFont val="Calibri"/>
        <family val="2"/>
      </rPr>
      <t xml:space="preserve"> W</t>
    </r>
  </si>
  <si>
    <r>
      <t>T</t>
    </r>
    <r>
      <rPr>
        <sz val="12"/>
        <color rgb="FF000000"/>
        <rFont val="Calibri"/>
        <family val="2"/>
      </rPr>
      <t>350</t>
    </r>
    <r>
      <rPr>
        <sz val="12"/>
        <color theme="1"/>
        <rFont val="Calibri"/>
        <family val="2"/>
      </rPr>
      <t xml:space="preserve"> G</t>
    </r>
  </si>
  <si>
    <r>
      <t>T</t>
    </r>
    <r>
      <rPr>
        <sz val="12"/>
        <color rgb="FF000000"/>
        <rFont val="Calibri"/>
        <family val="2"/>
      </rPr>
      <t>350</t>
    </r>
    <r>
      <rPr>
        <sz val="12"/>
        <color theme="1"/>
        <rFont val="Calibri"/>
        <family val="2"/>
      </rPr>
      <t xml:space="preserve"> A</t>
    </r>
  </si>
  <si>
    <r>
      <t>T</t>
    </r>
    <r>
      <rPr>
        <sz val="12"/>
        <color rgb="FF000000"/>
        <rFont val="Calibri"/>
        <family val="2"/>
      </rPr>
      <t>350-DC</t>
    </r>
    <r>
      <rPr>
        <sz val="12"/>
        <color theme="1"/>
        <rFont val="Calibri"/>
        <family val="2"/>
      </rPr>
      <t xml:space="preserve"> W</t>
    </r>
  </si>
  <si>
    <r>
      <t>T</t>
    </r>
    <r>
      <rPr>
        <sz val="12"/>
        <color rgb="FF000000"/>
        <rFont val="Calibri"/>
        <family val="2"/>
      </rPr>
      <t>350MB-DC</t>
    </r>
    <r>
      <rPr>
        <sz val="12"/>
        <color theme="1"/>
        <rFont val="Calibri"/>
        <family val="2"/>
      </rPr>
      <t xml:space="preserve"> A</t>
    </r>
  </si>
  <si>
    <r>
      <t>T</t>
    </r>
    <r>
      <rPr>
        <sz val="12"/>
        <color rgb="FF000000"/>
        <rFont val="Calibri"/>
        <family val="2"/>
      </rPr>
      <t>650</t>
    </r>
    <r>
      <rPr>
        <sz val="12"/>
        <color theme="1"/>
        <rFont val="Calibri"/>
        <family val="2"/>
      </rPr>
      <t xml:space="preserve"> W</t>
    </r>
  </si>
  <si>
    <r>
      <t>T</t>
    </r>
    <r>
      <rPr>
        <sz val="12"/>
        <color rgb="FF000000"/>
        <rFont val="Calibri"/>
        <family val="2"/>
      </rPr>
      <t>650</t>
    </r>
    <r>
      <rPr>
        <sz val="12"/>
        <color theme="1"/>
        <rFont val="Calibri"/>
        <family val="2"/>
      </rPr>
      <t xml:space="preserve"> G</t>
    </r>
  </si>
  <si>
    <r>
      <t>T</t>
    </r>
    <r>
      <rPr>
        <sz val="12"/>
        <color rgb="FF000000"/>
        <rFont val="Calibri"/>
        <family val="2"/>
      </rPr>
      <t>650</t>
    </r>
    <r>
      <rPr>
        <sz val="12"/>
        <color theme="1"/>
        <rFont val="Calibri"/>
        <family val="2"/>
      </rPr>
      <t xml:space="preserve"> A</t>
    </r>
  </si>
  <si>
    <r>
      <t>RT</t>
    </r>
    <r>
      <rPr>
        <sz val="12"/>
        <rFont val="Calibri"/>
        <family val="2"/>
      </rPr>
      <t>200</t>
    </r>
    <r>
      <rPr>
        <b/>
        <sz val="12"/>
        <color rgb="FF0070C0"/>
        <rFont val="Calibri"/>
        <family val="2"/>
      </rPr>
      <t xml:space="preserve"> </t>
    </r>
    <r>
      <rPr>
        <sz val="12"/>
        <color theme="1"/>
        <rFont val="Calibri"/>
        <family val="2"/>
      </rPr>
      <t>A</t>
    </r>
  </si>
  <si>
    <r>
      <t>RT</t>
    </r>
    <r>
      <rPr>
        <sz val="12"/>
        <color rgb="FF000000"/>
        <rFont val="Calibri"/>
        <family val="2"/>
      </rPr>
      <t>250</t>
    </r>
    <r>
      <rPr>
        <b/>
        <sz val="12"/>
        <color rgb="FF0070C0"/>
        <rFont val="Calibri"/>
        <family val="2"/>
      </rPr>
      <t xml:space="preserve"> </t>
    </r>
    <r>
      <rPr>
        <sz val="12"/>
        <color theme="1"/>
        <rFont val="Calibri"/>
        <family val="2"/>
      </rPr>
      <t>W</t>
    </r>
  </si>
  <si>
    <r>
      <t>RT</t>
    </r>
    <r>
      <rPr>
        <sz val="12"/>
        <color rgb="FF000000"/>
        <rFont val="Calibri"/>
        <family val="2"/>
      </rPr>
      <t>250</t>
    </r>
    <r>
      <rPr>
        <sz val="12"/>
        <color theme="1"/>
        <rFont val="Calibri"/>
        <family val="2"/>
      </rPr>
      <t xml:space="preserve"> G</t>
    </r>
  </si>
  <si>
    <r>
      <t>RT</t>
    </r>
    <r>
      <rPr>
        <sz val="12"/>
        <color rgb="FF000000"/>
        <rFont val="Calibri"/>
        <family val="2"/>
      </rPr>
      <t>250</t>
    </r>
    <r>
      <rPr>
        <sz val="12"/>
        <color theme="1"/>
        <rFont val="Calibri"/>
        <family val="2"/>
      </rPr>
      <t xml:space="preserve"> A</t>
    </r>
  </si>
  <si>
    <r>
      <t>RT</t>
    </r>
    <r>
      <rPr>
        <sz val="12"/>
        <color rgb="FF000000"/>
        <rFont val="Calibri"/>
        <family val="2"/>
      </rPr>
      <t>350</t>
    </r>
    <r>
      <rPr>
        <sz val="12"/>
        <color theme="1"/>
        <rFont val="Calibri"/>
        <family val="2"/>
      </rPr>
      <t xml:space="preserve"> W</t>
    </r>
  </si>
  <si>
    <r>
      <t>RT</t>
    </r>
    <r>
      <rPr>
        <sz val="12"/>
        <color rgb="FF000000"/>
        <rFont val="Calibri"/>
        <family val="2"/>
      </rPr>
      <t>350</t>
    </r>
    <r>
      <rPr>
        <sz val="12"/>
        <color theme="1"/>
        <rFont val="Calibri"/>
        <family val="2"/>
      </rPr>
      <t xml:space="preserve"> G</t>
    </r>
  </si>
  <si>
    <r>
      <t>RT</t>
    </r>
    <r>
      <rPr>
        <sz val="12"/>
        <color rgb="FF000000"/>
        <rFont val="Calibri"/>
        <family val="2"/>
      </rPr>
      <t>350</t>
    </r>
    <r>
      <rPr>
        <sz val="12"/>
        <color theme="1"/>
        <rFont val="Calibri"/>
        <family val="2"/>
      </rPr>
      <t xml:space="preserve"> A</t>
    </r>
  </si>
  <si>
    <r>
      <t>RT</t>
    </r>
    <r>
      <rPr>
        <sz val="12"/>
        <color rgb="FF000000"/>
        <rFont val="Calibri"/>
        <family val="2"/>
      </rPr>
      <t>350-DC</t>
    </r>
    <r>
      <rPr>
        <sz val="12"/>
        <color theme="1"/>
        <rFont val="Calibri"/>
        <family val="2"/>
      </rPr>
      <t xml:space="preserve"> W</t>
    </r>
  </si>
  <si>
    <r>
      <t>RT</t>
    </r>
    <r>
      <rPr>
        <sz val="12"/>
        <color rgb="FF000000"/>
        <rFont val="Calibri"/>
        <family val="2"/>
      </rPr>
      <t>350MB-DC</t>
    </r>
    <r>
      <rPr>
        <sz val="12"/>
        <color theme="1"/>
        <rFont val="Calibri"/>
        <family val="2"/>
      </rPr>
      <t xml:space="preserve"> A</t>
    </r>
  </si>
  <si>
    <r>
      <t>RT</t>
    </r>
    <r>
      <rPr>
        <sz val="12"/>
        <color rgb="FF000000"/>
        <rFont val="Calibri"/>
        <family val="2"/>
      </rPr>
      <t>650</t>
    </r>
    <r>
      <rPr>
        <sz val="12"/>
        <color theme="1"/>
        <rFont val="Calibri"/>
        <family val="2"/>
      </rPr>
      <t xml:space="preserve"> W</t>
    </r>
  </si>
  <si>
    <r>
      <t>RT</t>
    </r>
    <r>
      <rPr>
        <sz val="12"/>
        <color rgb="FF000000"/>
        <rFont val="Calibri"/>
        <family val="2"/>
      </rPr>
      <t>650</t>
    </r>
    <r>
      <rPr>
        <sz val="12"/>
        <color theme="1"/>
        <rFont val="Calibri"/>
        <family val="2"/>
      </rPr>
      <t xml:space="preserve"> G</t>
    </r>
  </si>
  <si>
    <r>
      <t>RT</t>
    </r>
    <r>
      <rPr>
        <sz val="12"/>
        <color rgb="FF000000"/>
        <rFont val="Calibri"/>
        <family val="2"/>
      </rPr>
      <t>650</t>
    </r>
    <r>
      <rPr>
        <sz val="12"/>
        <color theme="1"/>
        <rFont val="Calibri"/>
        <family val="2"/>
      </rPr>
      <t xml:space="preserve"> A</t>
    </r>
  </si>
  <si>
    <t>Model</t>
  </si>
  <si>
    <t>PACKED</t>
  </si>
  <si>
    <t>UNPACKED</t>
  </si>
  <si>
    <t>Width</t>
  </si>
  <si>
    <t>Depth</t>
  </si>
  <si>
    <t>Height</t>
  </si>
  <si>
    <t>Height(*)</t>
  </si>
  <si>
    <t>MODEL</t>
  </si>
  <si>
    <t>REFRIGERANT CHARGE [kg]</t>
  </si>
  <si>
    <t>Lingua</t>
  </si>
  <si>
    <t>Empty weight [kg]</t>
  </si>
  <si>
    <t>Oil weight [kg]</t>
  </si>
  <si>
    <t>Refrigerant weight [kg]</t>
  </si>
  <si>
    <t>Weight in operation [kg]</t>
  </si>
  <si>
    <r>
      <t>(R)T</t>
    </r>
    <r>
      <rPr>
        <sz val="12"/>
        <color rgb="FF000000"/>
        <rFont val="Calibri"/>
        <family val="2"/>
      </rPr>
      <t>10</t>
    </r>
    <r>
      <rPr>
        <b/>
        <sz val="12"/>
        <color rgb="FF0070C0"/>
        <rFont val="Calibri"/>
        <family val="2"/>
      </rPr>
      <t xml:space="preserve"> </t>
    </r>
    <r>
      <rPr>
        <sz val="12"/>
        <rFont val="Calibri"/>
        <family val="2"/>
      </rPr>
      <t>G</t>
    </r>
  </si>
  <si>
    <r>
      <t>(R)T</t>
    </r>
    <r>
      <rPr>
        <sz val="12"/>
        <color rgb="FF000000"/>
        <rFont val="Calibri"/>
        <family val="2"/>
      </rPr>
      <t>10</t>
    </r>
    <r>
      <rPr>
        <b/>
        <sz val="12"/>
        <color rgb="FF0070C0"/>
        <rFont val="Calibri"/>
        <family val="2"/>
      </rPr>
      <t xml:space="preserve"> </t>
    </r>
    <r>
      <rPr>
        <sz val="12"/>
        <rFont val="Calibri"/>
        <family val="2"/>
      </rPr>
      <t>A</t>
    </r>
  </si>
  <si>
    <r>
      <t>(R)T</t>
    </r>
    <r>
      <rPr>
        <sz val="12"/>
        <color rgb="FF000000"/>
        <rFont val="Calibri"/>
        <family val="2"/>
      </rPr>
      <t>30</t>
    </r>
    <r>
      <rPr>
        <sz val="12"/>
        <rFont val="Calibri"/>
        <family val="2"/>
      </rPr>
      <t xml:space="preserve"> W</t>
    </r>
  </si>
  <si>
    <r>
      <t>(R)T</t>
    </r>
    <r>
      <rPr>
        <sz val="12"/>
        <color rgb="FF000000"/>
        <rFont val="Calibri"/>
        <family val="2"/>
      </rPr>
      <t>30</t>
    </r>
    <r>
      <rPr>
        <sz val="12"/>
        <rFont val="Calibri"/>
        <family val="2"/>
      </rPr>
      <t xml:space="preserve"> G</t>
    </r>
  </si>
  <si>
    <r>
      <t>(R)T</t>
    </r>
    <r>
      <rPr>
        <sz val="12"/>
        <color rgb="FF000000"/>
        <rFont val="Calibri"/>
        <family val="2"/>
      </rPr>
      <t>30</t>
    </r>
    <r>
      <rPr>
        <sz val="12"/>
        <rFont val="Calibri"/>
        <family val="2"/>
      </rPr>
      <t xml:space="preserve"> A</t>
    </r>
  </si>
  <si>
    <r>
      <t>(R)T</t>
    </r>
    <r>
      <rPr>
        <sz val="12"/>
        <rFont val="Calibri"/>
        <family val="2"/>
      </rPr>
      <t>5</t>
    </r>
    <r>
      <rPr>
        <sz val="12"/>
        <color rgb="FF000000"/>
        <rFont val="Calibri"/>
        <family val="2"/>
      </rPr>
      <t>0</t>
    </r>
    <r>
      <rPr>
        <sz val="12"/>
        <rFont val="Calibri"/>
        <family val="2"/>
      </rPr>
      <t xml:space="preserve"> A</t>
    </r>
  </si>
  <si>
    <r>
      <t>(R)T</t>
    </r>
    <r>
      <rPr>
        <sz val="12"/>
        <rFont val="Calibri"/>
        <family val="2"/>
      </rPr>
      <t>6</t>
    </r>
    <r>
      <rPr>
        <sz val="12"/>
        <color rgb="FF000000"/>
        <rFont val="Calibri"/>
        <family val="2"/>
      </rPr>
      <t>0</t>
    </r>
    <r>
      <rPr>
        <sz val="12"/>
        <rFont val="Calibri"/>
        <family val="2"/>
      </rPr>
      <t xml:space="preserve"> W</t>
    </r>
  </si>
  <si>
    <r>
      <t>(R)T</t>
    </r>
    <r>
      <rPr>
        <sz val="12"/>
        <color rgb="FF000000"/>
        <rFont val="Calibri"/>
        <family val="2"/>
      </rPr>
      <t>60</t>
    </r>
    <r>
      <rPr>
        <sz val="12"/>
        <rFont val="Calibri"/>
        <family val="2"/>
      </rPr>
      <t xml:space="preserve"> G</t>
    </r>
  </si>
  <si>
    <r>
      <t>(R)T</t>
    </r>
    <r>
      <rPr>
        <sz val="12"/>
        <color rgb="FF000000"/>
        <rFont val="Calibri"/>
        <family val="2"/>
      </rPr>
      <t>60</t>
    </r>
    <r>
      <rPr>
        <sz val="12"/>
        <rFont val="Calibri"/>
        <family val="2"/>
      </rPr>
      <t xml:space="preserve"> A</t>
    </r>
  </si>
  <si>
    <r>
      <t>(R)T</t>
    </r>
    <r>
      <rPr>
        <sz val="12"/>
        <rFont val="Calibri"/>
        <family val="2"/>
      </rPr>
      <t>7</t>
    </r>
    <r>
      <rPr>
        <sz val="12"/>
        <color rgb="FF000000"/>
        <rFont val="Calibri"/>
        <family val="2"/>
      </rPr>
      <t>0</t>
    </r>
    <r>
      <rPr>
        <sz val="12"/>
        <rFont val="Calibri"/>
        <family val="2"/>
      </rPr>
      <t>-DC A</t>
    </r>
  </si>
  <si>
    <r>
      <t>(R)T</t>
    </r>
    <r>
      <rPr>
        <sz val="12"/>
        <color rgb="FF000000"/>
        <rFont val="Calibri"/>
        <family val="2"/>
      </rPr>
      <t>115</t>
    </r>
    <r>
      <rPr>
        <b/>
        <sz val="12"/>
        <color rgb="FF0070C0"/>
        <rFont val="Calibri"/>
        <family val="2"/>
      </rPr>
      <t xml:space="preserve"> </t>
    </r>
    <r>
      <rPr>
        <sz val="12"/>
        <rFont val="Calibri"/>
        <family val="2"/>
      </rPr>
      <t>W</t>
    </r>
  </si>
  <si>
    <r>
      <t>(R)T</t>
    </r>
    <r>
      <rPr>
        <sz val="12"/>
        <color rgb="FF000000"/>
        <rFont val="Calibri"/>
        <family val="2"/>
      </rPr>
      <t>115</t>
    </r>
    <r>
      <rPr>
        <b/>
        <sz val="12"/>
        <color rgb="FF0070C0"/>
        <rFont val="Calibri"/>
        <family val="2"/>
      </rPr>
      <t xml:space="preserve"> </t>
    </r>
    <r>
      <rPr>
        <sz val="12"/>
        <rFont val="Calibri"/>
        <family val="2"/>
      </rPr>
      <t>G</t>
    </r>
  </si>
  <si>
    <r>
      <t>(R)T</t>
    </r>
    <r>
      <rPr>
        <sz val="12"/>
        <color rgb="FF000000"/>
        <rFont val="Calibri"/>
        <family val="2"/>
      </rPr>
      <t>115</t>
    </r>
    <r>
      <rPr>
        <b/>
        <sz val="12"/>
        <color rgb="FF0070C0"/>
        <rFont val="Calibri"/>
        <family val="2"/>
      </rPr>
      <t xml:space="preserve"> </t>
    </r>
    <r>
      <rPr>
        <sz val="12"/>
        <rFont val="Calibri"/>
        <family val="2"/>
      </rPr>
      <t>A</t>
    </r>
  </si>
  <si>
    <r>
      <t>(R)T</t>
    </r>
    <r>
      <rPr>
        <sz val="12"/>
        <color rgb="FF000000"/>
        <rFont val="Calibri"/>
        <family val="2"/>
      </rPr>
      <t>140</t>
    </r>
    <r>
      <rPr>
        <sz val="12"/>
        <rFont val="Calibri"/>
        <family val="2"/>
      </rPr>
      <t>-DC A</t>
    </r>
  </si>
  <si>
    <r>
      <t>(R)T</t>
    </r>
    <r>
      <rPr>
        <sz val="12"/>
        <color rgb="FF000000"/>
        <rFont val="Calibri"/>
        <family val="2"/>
      </rPr>
      <t>250-DC</t>
    </r>
    <r>
      <rPr>
        <b/>
        <sz val="12"/>
        <color rgb="FF0070C0"/>
        <rFont val="Calibri"/>
        <family val="2"/>
      </rPr>
      <t xml:space="preserve"> </t>
    </r>
    <r>
      <rPr>
        <sz val="12"/>
        <rFont val="Calibri"/>
        <family val="2"/>
      </rPr>
      <t>W</t>
    </r>
  </si>
  <si>
    <r>
      <t>(R)T</t>
    </r>
    <r>
      <rPr>
        <sz val="12"/>
        <rFont val="Calibri"/>
        <family val="2"/>
      </rPr>
      <t>200</t>
    </r>
    <r>
      <rPr>
        <sz val="12"/>
        <color theme="1"/>
        <rFont val="Calibri"/>
        <family val="2"/>
      </rPr>
      <t xml:space="preserve"> A</t>
    </r>
  </si>
  <si>
    <r>
      <t>(R)T</t>
    </r>
    <r>
      <rPr>
        <sz val="12"/>
        <color rgb="FF000000"/>
        <rFont val="Calibri"/>
        <family val="2"/>
      </rPr>
      <t>250</t>
    </r>
    <r>
      <rPr>
        <sz val="12"/>
        <color theme="1"/>
        <rFont val="Calibri"/>
        <family val="2"/>
      </rPr>
      <t xml:space="preserve"> W</t>
    </r>
  </si>
  <si>
    <r>
      <t>(R)T</t>
    </r>
    <r>
      <rPr>
        <sz val="12"/>
        <color rgb="FF000000"/>
        <rFont val="Calibri"/>
        <family val="2"/>
      </rPr>
      <t>250</t>
    </r>
    <r>
      <rPr>
        <sz val="12"/>
        <color theme="1"/>
        <rFont val="Calibri"/>
        <family val="2"/>
      </rPr>
      <t xml:space="preserve"> G</t>
    </r>
  </si>
  <si>
    <r>
      <t>(R)T</t>
    </r>
    <r>
      <rPr>
        <sz val="12"/>
        <color rgb="FF000000"/>
        <rFont val="Calibri"/>
        <family val="2"/>
      </rPr>
      <t>250</t>
    </r>
    <r>
      <rPr>
        <sz val="12"/>
        <color theme="1"/>
        <rFont val="Calibri"/>
        <family val="2"/>
      </rPr>
      <t xml:space="preserve"> A</t>
    </r>
  </si>
  <si>
    <r>
      <t>(R)T</t>
    </r>
    <r>
      <rPr>
        <sz val="12"/>
        <color rgb="FF000000"/>
        <rFont val="Calibri"/>
        <family val="2"/>
      </rPr>
      <t>350</t>
    </r>
    <r>
      <rPr>
        <sz val="12"/>
        <color theme="1"/>
        <rFont val="Calibri"/>
        <family val="2"/>
      </rPr>
      <t xml:space="preserve"> W</t>
    </r>
  </si>
  <si>
    <r>
      <t>(R)T</t>
    </r>
    <r>
      <rPr>
        <sz val="12"/>
        <color rgb="FF000000"/>
        <rFont val="Calibri"/>
        <family val="2"/>
      </rPr>
      <t>350</t>
    </r>
    <r>
      <rPr>
        <sz val="12"/>
        <color theme="1"/>
        <rFont val="Calibri"/>
        <family val="2"/>
      </rPr>
      <t xml:space="preserve"> G</t>
    </r>
  </si>
  <si>
    <r>
      <t>(R)T</t>
    </r>
    <r>
      <rPr>
        <sz val="12"/>
        <color rgb="FF000000"/>
        <rFont val="Calibri"/>
        <family val="2"/>
      </rPr>
      <t>350</t>
    </r>
    <r>
      <rPr>
        <sz val="12"/>
        <color theme="1"/>
        <rFont val="Calibri"/>
        <family val="2"/>
      </rPr>
      <t xml:space="preserve"> A</t>
    </r>
  </si>
  <si>
    <r>
      <t>(R)T</t>
    </r>
    <r>
      <rPr>
        <sz val="12"/>
        <color rgb="FF000000"/>
        <rFont val="Calibri"/>
        <family val="2"/>
      </rPr>
      <t>350-DC</t>
    </r>
    <r>
      <rPr>
        <sz val="12"/>
        <color theme="1"/>
        <rFont val="Calibri"/>
        <family val="2"/>
      </rPr>
      <t xml:space="preserve"> W</t>
    </r>
  </si>
  <si>
    <r>
      <t>(R)T</t>
    </r>
    <r>
      <rPr>
        <sz val="12"/>
        <color rgb="FF000000"/>
        <rFont val="Calibri"/>
        <family val="2"/>
      </rPr>
      <t>350MB-DC</t>
    </r>
    <r>
      <rPr>
        <sz val="12"/>
        <color theme="1"/>
        <rFont val="Calibri"/>
        <family val="2"/>
      </rPr>
      <t xml:space="preserve"> A</t>
    </r>
  </si>
  <si>
    <r>
      <t>(R)T</t>
    </r>
    <r>
      <rPr>
        <sz val="12"/>
        <color rgb="FF000000"/>
        <rFont val="Calibri"/>
        <family val="2"/>
      </rPr>
      <t>650</t>
    </r>
    <r>
      <rPr>
        <sz val="12"/>
        <color theme="1"/>
        <rFont val="Calibri"/>
        <family val="2"/>
      </rPr>
      <t xml:space="preserve"> W</t>
    </r>
  </si>
  <si>
    <r>
      <t>(R)T</t>
    </r>
    <r>
      <rPr>
        <sz val="12"/>
        <color rgb="FF000000"/>
        <rFont val="Calibri"/>
        <family val="2"/>
      </rPr>
      <t>650</t>
    </r>
    <r>
      <rPr>
        <sz val="12"/>
        <color theme="1"/>
        <rFont val="Calibri"/>
        <family val="2"/>
      </rPr>
      <t xml:space="preserve"> G</t>
    </r>
  </si>
  <si>
    <r>
      <t>(R)T</t>
    </r>
    <r>
      <rPr>
        <sz val="12"/>
        <color rgb="FF000000"/>
        <rFont val="Calibri"/>
        <family val="2"/>
      </rPr>
      <t>650</t>
    </r>
    <r>
      <rPr>
        <sz val="12"/>
        <color theme="1"/>
        <rFont val="Calibri"/>
        <family val="2"/>
      </rPr>
      <t xml:space="preserve"> A</t>
    </r>
  </si>
  <si>
    <r>
      <t>T</t>
    </r>
    <r>
      <rPr>
        <sz val="12"/>
        <rFont val="Calibri"/>
        <family val="2"/>
      </rPr>
      <t>200</t>
    </r>
    <r>
      <rPr>
        <sz val="12"/>
        <color theme="1"/>
        <rFont val="Calibri"/>
        <family val="2"/>
      </rPr>
      <t xml:space="preserve"> A</t>
    </r>
  </si>
  <si>
    <r>
      <t>T</t>
    </r>
    <r>
      <rPr>
        <sz val="12"/>
        <color rgb="FF000000"/>
        <rFont val="Calibri"/>
        <family val="2"/>
      </rPr>
      <t>250</t>
    </r>
    <r>
      <rPr>
        <sz val="12"/>
        <color theme="1"/>
        <rFont val="Calibri"/>
        <family val="2"/>
      </rPr>
      <t xml:space="preserve"> W</t>
    </r>
  </si>
  <si>
    <r>
      <t>T</t>
    </r>
    <r>
      <rPr>
        <sz val="12"/>
        <color rgb="FF000000"/>
        <rFont val="Calibri"/>
        <family val="2"/>
      </rPr>
      <t>250</t>
    </r>
    <r>
      <rPr>
        <b/>
        <sz val="12"/>
        <color rgb="FF0070C0"/>
        <rFont val="Calibri"/>
        <family val="2"/>
      </rPr>
      <t xml:space="preserve"> </t>
    </r>
    <r>
      <rPr>
        <sz val="12"/>
        <color theme="1"/>
        <rFont val="Calibri"/>
        <family val="2"/>
      </rPr>
      <t>A</t>
    </r>
  </si>
  <si>
    <r>
      <t>RT</t>
    </r>
    <r>
      <rPr>
        <sz val="12"/>
        <rFont val="Calibri"/>
        <family val="2"/>
      </rPr>
      <t>200</t>
    </r>
    <r>
      <rPr>
        <sz val="12"/>
        <color theme="1"/>
        <rFont val="Calibri"/>
        <family val="2"/>
      </rPr>
      <t xml:space="preserve"> A</t>
    </r>
  </si>
  <si>
    <t>T/RT</t>
  </si>
  <si>
    <t>Lingua
(0=italiano; 1=inglese)</t>
  </si>
  <si>
    <t>ENG</t>
  </si>
  <si>
    <t>ITA</t>
  </si>
  <si>
    <t>RT</t>
  </si>
  <si>
    <t>Macchina</t>
  </si>
  <si>
    <t>Corrispondenze per interfaccia di selezione</t>
  </si>
  <si>
    <t>Corrispondenze per programmazione</t>
  </si>
  <si>
    <t>Gruppi</t>
  </si>
  <si>
    <t>42 (R290)
25 (R600a)</t>
  </si>
  <si>
    <t>45 (R290)
25 (R600a)</t>
  </si>
  <si>
    <t>4,6 (R290)
6,8 (R600a)</t>
  </si>
  <si>
    <t>3,1 (R290)
4,5 (R600a)</t>
  </si>
  <si>
    <t>IMPORTANT WARNINGS</t>
  </si>
  <si>
    <r>
      <t xml:space="preserve">The pallet for transporting and handling the Dry Cooler (in version </t>
    </r>
    <r>
      <rPr>
        <i/>
        <sz val="11"/>
        <color theme="1"/>
        <rFont val="Calibri"/>
        <family val="2"/>
        <scheme val="minor"/>
      </rPr>
      <t>Air</t>
    </r>
    <r>
      <rPr>
        <sz val="11"/>
        <color theme="1"/>
        <rFont val="Calibri"/>
        <family val="2"/>
        <scheme val="minor"/>
      </rPr>
      <t>) must be disposed of in accordance with current legislation.</t>
    </r>
  </si>
  <si>
    <t>Pay attention that the machine does not suffer accidental impacts during handling.</t>
  </si>
  <si>
    <t>The removable iron brackets used for handling must be disassembled after mounting the anti-vibration supports (only sizes over 115kWt).</t>
  </si>
  <si>
    <t xml:space="preserve">In order to ensure the safety of workers, third parties and property, the handling of the machine must be carried out by suitable figures and using appropriate means, in compliance with the current safety regulations. </t>
  </si>
  <si>
    <t>The table below indicates the weights of the various machines. The machine is delivered charged with oil and refrigerant.</t>
  </si>
  <si>
    <t>(*) Add to these values the height of the antivibration supports which is variable between 60 and 110 mm.</t>
  </si>
  <si>
    <t>For handling, use the forklift or transpallet taking care not to bump the anti-vibration mounts and / or disassemble the latter before handling.</t>
  </si>
  <si>
    <t xml:space="preserve">Lift the unit a few centimeters and, only after verifying the stability of the load, move the unit carefully to the place of installation. During lifting and handling, check that the unit always remains vertical.During handling, take care not to interpose parts of the body in order to avoid the risk of any crushing or impact resulting from falls or sudden and accidental movements of the load.In the event that the rear part is to be placed against the wall, before approaching it, the rear panel must be mounted by screwing the appropriate tightening nuts.Once the machine has been placed in its final position, adjust the anti-vibration mounts and level the machine. </t>
  </si>
  <si>
    <t>To move the machine, it is necessary to place the lifting shackles in the special brackets after inserting the belts. Make sure the shackle retainers are fully screwed in. For the T350MB-DC, there is a bracket at the bottom and a slot at the top for all four corners of the machine. The lifting straps, 6 m long and suitable for lifting loads of at least 2000 kg each, must be hooked to the slots using the shackles and passed through the corresponding slots.</t>
  </si>
  <si>
    <t>INSTALLATION MANUAL</t>
  </si>
  <si>
    <t>P</t>
  </si>
  <si>
    <t>R</t>
  </si>
  <si>
    <t>ALL</t>
  </si>
  <si>
    <t>Pericolo_Generico_ITA.png</t>
  </si>
  <si>
    <t>Pericolo_Generico_ENG.png</t>
  </si>
  <si>
    <t>4.3.1-Movimentazione.png</t>
  </si>
  <si>
    <t>Sollevamento_e_particolari_staffa_e_grillo.png</t>
  </si>
  <si>
    <t>Nelle versioni Air si farà uso dei termini “unità principale” e “unità esterna” per identificare le singole unità.</t>
  </si>
  <si>
    <r>
      <t xml:space="preserve">Il presente Manuale viene fornito a corredo di ogni pompa di calore ad alta temperatura di marca </t>
    </r>
    <r>
      <rPr>
        <b/>
        <sz val="11"/>
        <color theme="1"/>
        <rFont val="Calibri"/>
        <family val="2"/>
        <scheme val="minor"/>
      </rPr>
      <t xml:space="preserve">TEON. </t>
    </r>
    <r>
      <rPr>
        <sz val="11"/>
        <color theme="1"/>
        <rFont val="Calibri"/>
        <family val="2"/>
        <scheme val="minor"/>
      </rPr>
      <t>Nel proseguo per semplicità, la pompa di calore potrebbe essere indicata con il termine “macchina” o “prodotto”.</t>
    </r>
  </si>
  <si>
    <r>
      <t xml:space="preserve">Per i dettagli relativi alla tassonomia e identificazione prodotto fare riferimento al relativo capitolo del </t>
    </r>
    <r>
      <rPr>
        <i/>
        <sz val="11"/>
        <color theme="1"/>
        <rFont val="Calibri"/>
        <family val="2"/>
        <scheme val="minor"/>
      </rPr>
      <t>Manuale d’Uso e Manutenzione.</t>
    </r>
  </si>
  <si>
    <t>Questo manuale ha lo scopo di descrivere dettagliatamente le precauzioni, le avvertenze e i suggerimenti finalizzati ad una corretta, ottimale e sicura installazione delle pompe di calore, nonché le operazioni da compiersi in fase di avviamento iniziale e le operazioni necessarie per la gestione in sicurezza della macchina. Tutte le descrizioni sono corredate da diagrammi di flusso semplificati per meglio comprendere la successione delle operazioni.</t>
  </si>
  <si>
    <t>Le conoscenze tecniche richieste per maneggiare le pompe di calore ad alta temperatura che utilizzano gas idrocarburici si presumono già in possesso di chi utilizza questo manuale.</t>
  </si>
  <si>
    <t>Tutti i materiali, i componenti, i prodotti, le apparecchiature, le forniture in genere e quanto altro utilizzato, fornito e posto in opera sono e devono rimanere nuovi, della migliore qualità in commercio, prodotti e lavorati a perfetta regola d’arte e devono risultare corrispondenti al servizio a cui sono destinati e alle caratteristiche prestazionali richieste dalla macchina di cui fanno parte integrante.</t>
  </si>
  <si>
    <t>Riguardo ai materiali e alle forniture utilizzati per l’installazione, il Regolamento (UE) n. 305/2011 impone la marcatura CE obbligatoria se sono destinati ad essere stabilmente inglobati in opere di costruzione o in parti di esse e la cui prestazione incide sulla prestazione delle opere di costruzione stesse.</t>
  </si>
  <si>
    <r>
      <t xml:space="preserve">In sede di consegna della macchina, oltre al presente manuale aggiornato saranno consegnati il </t>
    </r>
    <r>
      <rPr>
        <i/>
        <sz val="11"/>
        <color theme="1"/>
        <rFont val="Calibri"/>
        <family val="2"/>
        <scheme val="minor"/>
      </rPr>
      <t>Manuale d’Uso e Manutenzione</t>
    </r>
    <r>
      <rPr>
        <sz val="11"/>
        <color theme="1"/>
        <rFont val="Calibri"/>
        <family val="2"/>
        <scheme val="minor"/>
      </rPr>
      <t xml:space="preserve">, il </t>
    </r>
    <r>
      <rPr>
        <i/>
        <sz val="11"/>
        <color theme="1"/>
        <rFont val="Calibri"/>
        <family val="2"/>
        <scheme val="minor"/>
      </rPr>
      <t xml:space="preserve">Manuale di Manutenzione, </t>
    </r>
    <r>
      <rPr>
        <sz val="11"/>
        <color theme="1"/>
        <rFont val="Calibri"/>
        <family val="2"/>
        <scheme val="minor"/>
      </rPr>
      <t xml:space="preserve">le </t>
    </r>
    <r>
      <rPr>
        <i/>
        <sz val="11"/>
        <color theme="1"/>
        <rFont val="Calibri"/>
        <family val="2"/>
        <scheme val="minor"/>
      </rPr>
      <t>Condizioni Generali di Vendita</t>
    </r>
    <r>
      <rPr>
        <sz val="11"/>
        <color theme="1"/>
        <rFont val="Calibri"/>
        <family val="2"/>
        <scheme val="minor"/>
      </rPr>
      <t xml:space="preserve"> e la </t>
    </r>
    <r>
      <rPr>
        <i/>
        <sz val="11"/>
        <color theme="1"/>
        <rFont val="Calibri"/>
        <family val="2"/>
        <scheme val="minor"/>
      </rPr>
      <t>Dichiarazione di Conformità CE</t>
    </r>
    <r>
      <rPr>
        <sz val="11"/>
        <color theme="1"/>
        <rFont val="Calibri"/>
        <family val="2"/>
        <scheme val="minor"/>
      </rPr>
      <t xml:space="preserve">, tutti conformi alla fornitura e tutti nella loro ultima revisione.  </t>
    </r>
  </si>
  <si>
    <r>
      <t xml:space="preserve">Nel </t>
    </r>
    <r>
      <rPr>
        <i/>
        <sz val="11"/>
        <color theme="1"/>
        <rFont val="Calibri"/>
        <family val="2"/>
        <scheme val="minor"/>
      </rPr>
      <t>Manuale d’Uso e Manutenzione</t>
    </r>
    <r>
      <rPr>
        <sz val="11"/>
        <color theme="1"/>
        <rFont val="Calibri"/>
        <family val="2"/>
        <scheme val="minor"/>
      </rPr>
      <t xml:space="preserve"> sono dettagliatamente descritte tutte le operazioni che l’utente può compiere durante il normale funzionamento della macchina per una gestione ottimale e in sicurezza.</t>
    </r>
  </si>
  <si>
    <r>
      <t xml:space="preserve">Nel </t>
    </r>
    <r>
      <rPr>
        <i/>
        <sz val="11"/>
        <color theme="1"/>
        <rFont val="Calibri"/>
        <family val="2"/>
        <scheme val="minor"/>
      </rPr>
      <t>Manuale di Manutenzione</t>
    </r>
    <r>
      <rPr>
        <sz val="11"/>
        <color theme="1"/>
        <rFont val="Calibri"/>
        <family val="2"/>
        <scheme val="minor"/>
      </rPr>
      <t xml:space="preserve"> sono descritte le operazioni, i test e le verifiche previste in fase di manutenzione ordinaria e straordinaria con la frequenza degli interventi e gli eventuali materiali di consumo da utilizzare.</t>
    </r>
  </si>
  <si>
    <r>
      <t xml:space="preserve">L’allegato </t>
    </r>
    <r>
      <rPr>
        <i/>
        <sz val="11"/>
        <color theme="1"/>
        <rFont val="Calibri"/>
        <family val="2"/>
        <scheme val="minor"/>
      </rPr>
      <t>Condizioni Generali di Vendita</t>
    </r>
    <r>
      <rPr>
        <sz val="11"/>
        <color theme="1"/>
        <rFont val="Calibri"/>
        <family val="2"/>
        <scheme val="minor"/>
      </rPr>
      <t xml:space="preserve"> fornisce indicazioni inerenti le condizioni generali di vendita per la macchina.</t>
    </r>
  </si>
  <si>
    <t>Al fine di garantire una corretta installazione che consenta un uso ottimale, duraturo e in sicurezza del prodotto, è necessario seguire scrupolosamente le indicazioni contenute nel presente Manuale, ponendo particolare attenzione al paragrafo riguardante le norme di sicurezza.</t>
  </si>
  <si>
    <t>Il mancato rispetto delle indicazioni riportate nel Manuale solleva TEON da ogni responsabilità in caso di danni cagionati a cose, persone o animali.</t>
  </si>
  <si>
    <r>
      <t xml:space="preserve">Per informazioni dettagliate inerenti la garanzia della macchina si rimanda all’allegato </t>
    </r>
    <r>
      <rPr>
        <i/>
        <sz val="11"/>
        <color theme="1"/>
        <rFont val="Calibri"/>
        <family val="2"/>
        <scheme val="minor"/>
      </rPr>
      <t>Condizioni Generali di Vendita</t>
    </r>
    <r>
      <rPr>
        <sz val="11"/>
        <color theme="1"/>
        <rFont val="Calibri"/>
        <family val="2"/>
        <scheme val="minor"/>
      </rPr>
      <t>.</t>
    </r>
  </si>
  <si>
    <r>
      <t xml:space="preserve">Per le informazioni generali inerenti le norme generali di sicurezza della macchina si rimanda al relativo capitolo del </t>
    </r>
    <r>
      <rPr>
        <i/>
        <sz val="11"/>
        <color theme="1"/>
        <rFont val="Calibri"/>
        <family val="2"/>
        <scheme val="minor"/>
      </rPr>
      <t>Manuale d’Uso e Manutenzione</t>
    </r>
    <r>
      <rPr>
        <sz val="11"/>
        <color theme="1"/>
        <rFont val="Calibri"/>
        <family val="2"/>
        <scheme val="minor"/>
      </rPr>
      <t>.</t>
    </r>
  </si>
  <si>
    <t>Di seguito si riportano informazioni specifiche relative alla movimentazione, installazione e manutenzione da parte di operatori esperti e abilitati all’installazione e alla manutenzione delle macchine.</t>
  </si>
  <si>
    <t>3.1_Avvertenze_su_sostanze_potenzialmente_tossiche.png</t>
  </si>
  <si>
    <t>CAS</t>
  </si>
  <si>
    <t>EC</t>
  </si>
  <si>
    <t>R600a</t>
  </si>
  <si>
    <t>000075-28-5</t>
  </si>
  <si>
    <t>200-857-2</t>
  </si>
  <si>
    <t>601-004-00-0</t>
  </si>
  <si>
    <t>R290</t>
  </si>
  <si>
    <t>Propano</t>
  </si>
  <si>
    <t>000074-98-6</t>
  </si>
  <si>
    <t>200-827-9</t>
  </si>
  <si>
    <t>601-003-00-5</t>
  </si>
  <si>
    <t>ATEL/ODL [kg/m3]</t>
  </si>
  <si>
    <t>SIGLA</t>
  </si>
  <si>
    <t>NOME</t>
  </si>
  <si>
    <t>N. SOSTANZA</t>
  </si>
  <si>
    <t>CLASSE DI SICUREZZA</t>
  </si>
  <si>
    <t>GRUPPO PED DEL FLUIDO</t>
  </si>
  <si>
    <t>LIMITE PRATICO [kg/m3]</t>
  </si>
  <si>
    <t>LFL [kg/m3]</t>
  </si>
  <si>
    <t>A3</t>
  </si>
  <si>
    <t>NAME</t>
  </si>
  <si>
    <t>ACRONYM</t>
  </si>
  <si>
    <t>N. SUBSTANCE</t>
  </si>
  <si>
    <t>SAFETY CLASS</t>
  </si>
  <si>
    <t>PED GROUP</t>
  </si>
  <si>
    <t>PRACTICAL LIMIT [kg/m3]</t>
  </si>
  <si>
    <t>ODP</t>
  </si>
  <si>
    <t>GWP</t>
  </si>
  <si>
    <t>Temperatura di autoaccensione [°C]</t>
  </si>
  <si>
    <t>MASSA MOLECOLARE</t>
  </si>
  <si>
    <t>Auto ignition temperature [°C]</t>
  </si>
  <si>
    <t>MOLECULAR MASS</t>
  </si>
  <si>
    <r>
      <t>Temp. Evaporazione p_</t>
    </r>
    <r>
      <rPr>
        <b/>
        <vertAlign val="subscript"/>
        <sz val="11"/>
        <color theme="0"/>
        <rFont val="Calibri"/>
        <family val="2"/>
      </rPr>
      <t>atm</t>
    </r>
    <r>
      <rPr>
        <b/>
        <sz val="11"/>
        <color theme="0"/>
        <rFont val="Calibri"/>
        <family val="2"/>
      </rPr>
      <t xml:space="preserve"> [°C]</t>
    </r>
  </si>
  <si>
    <r>
      <t>Normal boiling point p_</t>
    </r>
    <r>
      <rPr>
        <b/>
        <vertAlign val="subscript"/>
        <sz val="11"/>
        <color theme="0"/>
        <rFont val="Calibri"/>
        <family val="2"/>
      </rPr>
      <t>atm</t>
    </r>
    <r>
      <rPr>
        <b/>
        <sz val="11"/>
        <color theme="0"/>
        <rFont val="Calibri"/>
        <family val="2"/>
      </rPr>
      <t xml:space="preserve"> [°C]</t>
    </r>
  </si>
  <si>
    <t>DENSITA' (Normale) [kg/m^3]</t>
  </si>
  <si>
    <t>DENSITY (Normal) [kg/m^3]</t>
  </si>
  <si>
    <t>R600aR290</t>
  </si>
  <si>
    <t>3.1.2.1_salvaguardia_ambiente.png</t>
  </si>
  <si>
    <t xml:space="preserve">Misure in caso di fuoriuscita accidentale </t>
  </si>
  <si>
    <t>Persistenza, degradazione e impatto ambientale</t>
  </si>
  <si>
    <t>Allontanare il personale non necessario. Assicurare un’adeguata protezione personale con l’impiego di:</t>
  </si>
  <si>
    <r>
      <t>-</t>
    </r>
    <r>
      <rPr>
        <sz val="7"/>
        <color theme="1"/>
        <rFont val="Times New Roman"/>
        <family val="1"/>
      </rPr>
      <t xml:space="preserve">      </t>
    </r>
    <r>
      <rPr>
        <sz val="11"/>
        <color theme="1"/>
        <rFont val="Calibri"/>
        <family val="2"/>
        <scheme val="minor"/>
      </rPr>
      <t>Mezzi di protezione per le vie respiratorie, usare l'autorespiratore per entrare nella zona interessata se non è provato che l'atmosfera sia respirabile.</t>
    </r>
  </si>
  <si>
    <r>
      <t>-</t>
    </r>
    <r>
      <rPr>
        <sz val="7"/>
        <color theme="1"/>
        <rFont val="Times New Roman"/>
        <family val="1"/>
      </rPr>
      <t xml:space="preserve">      </t>
    </r>
    <r>
      <rPr>
        <sz val="11"/>
        <color theme="1"/>
        <rFont val="Calibri"/>
        <family val="2"/>
        <scheme val="minor"/>
      </rPr>
      <t>Indumenti protettivi.</t>
    </r>
  </si>
  <si>
    <t>Evitare che gli abiti si impregnino di prodotto. Assicurare una adeguata ventilazione. Se le condizioni sono sufficientemente sicure, isolare la fonte della perdita. In presenza di spandimenti di modesta entità, lasciare evaporare il materiale a condizione che vi sia una ventilazione adeguata.Nel caso di perdite di entità rilevante, evitarne l'ingresso in fognature, scantinati, scavi e zone dove l'accumulo può essere pericoloso, ventilare adeguatamente la zona e contenere il materiale versato con sabbia, terra o altro materiale assorbente idoneo.</t>
  </si>
  <si>
    <t>Mezzi di estinzione</t>
  </si>
  <si>
    <r>
      <t>-</t>
    </r>
    <r>
      <rPr>
        <sz val="7"/>
        <color theme="1"/>
        <rFont val="Times New Roman"/>
        <family val="1"/>
      </rPr>
      <t xml:space="preserve">      </t>
    </r>
    <r>
      <rPr>
        <sz val="11"/>
        <color theme="1"/>
        <rFont val="Calibri"/>
        <family val="2"/>
        <scheme val="minor"/>
      </rPr>
      <t>Mezzi di estinzione idonei: si possono usare tutti i mezzi estinguenti conosciuti, acqua esclusa.</t>
    </r>
  </si>
  <si>
    <r>
      <t>-</t>
    </r>
    <r>
      <rPr>
        <sz val="7"/>
        <color theme="1"/>
        <rFont val="Times New Roman"/>
        <family val="1"/>
      </rPr>
      <t xml:space="preserve">      </t>
    </r>
    <r>
      <rPr>
        <sz val="11"/>
        <color theme="1"/>
        <rFont val="Calibri"/>
        <family val="2"/>
        <scheme val="minor"/>
      </rPr>
      <t>Mezzi di estinzione non idonei: non impiegare acqua in presenza di componenti sotto tensione.</t>
    </r>
  </si>
  <si>
    <t>Pericoli speciali derivanti dalla sostanza o dalla miscela</t>
  </si>
  <si>
    <r>
      <t>-</t>
    </r>
    <r>
      <rPr>
        <sz val="7"/>
        <color theme="1"/>
        <rFont val="Times New Roman"/>
        <family val="1"/>
      </rPr>
      <t xml:space="preserve">      </t>
    </r>
    <r>
      <rPr>
        <sz val="11"/>
        <color theme="1"/>
        <rFont val="Calibri"/>
        <family val="2"/>
        <scheme val="minor"/>
      </rPr>
      <t>Pericoli specifici: l'esposizione alle fiamme può causare la rottura o l'esplosione del recipiente.</t>
    </r>
  </si>
  <si>
    <r>
      <t>-</t>
    </r>
    <r>
      <rPr>
        <sz val="7"/>
        <color theme="1"/>
        <rFont val="Times New Roman"/>
        <family val="1"/>
      </rPr>
      <t xml:space="preserve">      </t>
    </r>
    <r>
      <rPr>
        <sz val="11"/>
        <color theme="1"/>
        <rFont val="Calibri"/>
        <family val="2"/>
        <scheme val="minor"/>
      </rPr>
      <t>Prodotti di combustione pericolosi: la combustione incompleta può formare ossido di carbonio.</t>
    </r>
  </si>
  <si>
    <t>Raccomandazioni per gli addetti all'estinzione degli incendi addetti antincendio</t>
  </si>
  <si>
    <t>Metodi specifici: se possibile arrestare la fuoriuscita di prodotto. Allontanarsi dal recipiente e raffreddarlo con acqua da posizione protetta. Non spegnere il gas incendiato se non assolutamente necessario. Può verificarsi una riaccensione esplosiva. Spegnere le fiamme circostanti. Usare l'autorespiratore in spazi ristretti.</t>
  </si>
  <si>
    <t>Principali sintomi ed effetti, sia acuti che ritardati</t>
  </si>
  <si>
    <t>In bassa concentrazione può avere effetto narcotico. I sintomi possono includere vertigini, mal di testa, nausea e perdita di coordinazione. In alta concentrazione può causare asfissia. I sintomi possono includere perdita di mobilità e/o conoscenza. Le vittime possono non rendersi conto dell'asfissia.</t>
  </si>
  <si>
    <t>Indicazione dell'eventuale necessità di consultare immediatamente un medico e di trattamenti speciali</t>
  </si>
  <si>
    <t>Richiedere l'intervento medico di emergenza. Chiamare il 118.</t>
  </si>
  <si>
    <t>Inalazione</t>
  </si>
  <si>
    <t>Concentrazioni atmosferiche elevate possono causare effetti anestetici con possibile perdita di coscienza. Esposizioni prolungate possono causare anomalie del ritmo cardiaco e provocare morte improvvisa. Concentrazioni più elevate possono causare asfissia a causa del contenuto d’ossigeno ridotto nell’atmosfera.</t>
  </si>
  <si>
    <t>Contatto con la pelle</t>
  </si>
  <si>
    <t>Gli schizzi di liquido nebulizzato possono provocare ustioni da gelo. È improbabile che sia pericoloso per l’assorbimento cutaneo. Il contatto ripetuto o prolungato può causare la rimozione del grasso cutaneo, con conseguenti secchezza, screpolature e dermatite.</t>
  </si>
  <si>
    <t>Contatto con gli occhi</t>
  </si>
  <si>
    <t>Spruzzi di liquido possono provocare ustioni da gelo.</t>
  </si>
  <si>
    <t>Ingestione</t>
  </si>
  <si>
    <t>Altamente improbabile, ma se si verifica può provocare ustioni da gelo.</t>
  </si>
  <si>
    <t>Spostare la vittima in zona non contaminata indossando l'autorespiratore. Mantenere il paziente disteso e al caldo. Chiamare un medico. Procedere alla respirazione artificiale in caso di arresto della respirazione.</t>
  </si>
  <si>
    <t>Contatto con la pelle e con gli occhi</t>
  </si>
  <si>
    <t>In caso di fuoriuscita di liquido lavare con acqua pulita per almeno 15 minuti.</t>
  </si>
  <si>
    <t>Non provocare il vomito. Se l’infortunato è cosciente far sciacquare la bocca con acqua e far bere 200-300 ml d’acqua. Richiedere immediata assistenza medica.</t>
  </si>
  <si>
    <t>Ulteriori cure mediche</t>
  </si>
  <si>
    <t>Trattamento sintomatico e terapia di supporto quando indicato. Non somministrare adrenalina e farmaci simpaticomimetici o similari in seguito ad esposizione, per il rischio di aritmia cardiaca.</t>
  </si>
  <si>
    <t>L’olio di lubrificazione impiegato è quello indicato nella tabella sotto riportata. In qualsiasi caso fare riferimento alle indicazioni che si trovano sulla targhetta posta sul compressore.</t>
  </si>
  <si>
    <t>Modelli T</t>
  </si>
  <si>
    <t>Marca</t>
  </si>
  <si>
    <t>Frascold</t>
  </si>
  <si>
    <t>Q5-25-1AXH</t>
  </si>
  <si>
    <t>V15-71AXH</t>
  </si>
  <si>
    <t>Z40-140AXH</t>
  </si>
  <si>
    <t>W75-240AXH</t>
  </si>
  <si>
    <t>CXH91-160-620AX</t>
  </si>
  <si>
    <t>Tipo</t>
  </si>
  <si>
    <t>Quantità</t>
  </si>
  <si>
    <t>Lunghezza [mm]</t>
  </si>
  <si>
    <t>Larghezza [mm]</t>
  </si>
  <si>
    <t>Altezza [mm]</t>
  </si>
  <si>
    <t>Peso [kg]</t>
  </si>
  <si>
    <t>Locked rotor current (LRA) [A]</t>
  </si>
  <si>
    <t>Olio</t>
  </si>
  <si>
    <t>PAG68</t>
  </si>
  <si>
    <t>PAG150</t>
  </si>
  <si>
    <t>Carica olio [kg]</t>
  </si>
  <si>
    <t>Viscosità Cinematica a 40°C [cSt]</t>
  </si>
  <si>
    <t>Viscosità Cinematica a 100°C [cSt]</t>
  </si>
  <si>
    <t>Indice di viscosità [-]</t>
  </si>
  <si>
    <t>ISO VG [-]</t>
  </si>
  <si>
    <t>Punto di scorrimento [°C]</t>
  </si>
  <si>
    <t>Punto di infiammabilità [°C]</t>
  </si>
  <si>
    <t>Densità a 15°C [g/cm^3]</t>
  </si>
  <si>
    <t>Contenuto umidità [ppm]</t>
  </si>
  <si>
    <t>Acidità totale [mgKOH/g]</t>
  </si>
  <si>
    <t>Colore [APHA]</t>
  </si>
  <si>
    <t>Efficienza di cappaggio [%]</t>
  </si>
  <si>
    <t>[-]</t>
  </si>
  <si>
    <t>Company</t>
  </si>
  <si>
    <t>Typology</t>
  </si>
  <si>
    <t>Quantity</t>
  </si>
  <si>
    <t>Length [mm]</t>
  </si>
  <si>
    <t>Width [mm]</t>
  </si>
  <si>
    <t>Weight [kg]</t>
  </si>
  <si>
    <t>Oil</t>
  </si>
  <si>
    <t>Oil charge [kg]</t>
  </si>
  <si>
    <t>V15-71AXH
V20-84AXH</t>
  </si>
  <si>
    <t>672
672</t>
  </si>
  <si>
    <t>460
460</t>
  </si>
  <si>
    <t>463
463</t>
  </si>
  <si>
    <t>170
180</t>
  </si>
  <si>
    <t>31,5
36,5</t>
  </si>
  <si>
    <t>74,8
106,6</t>
  </si>
  <si>
    <t>117,1
180,5</t>
  </si>
  <si>
    <t>4
4</t>
  </si>
  <si>
    <t>20,5
20,5</t>
  </si>
  <si>
    <t>30
30</t>
  </si>
  <si>
    <t>1
1</t>
  </si>
  <si>
    <t>Z40-154AXH
Z40-168AXH</t>
  </si>
  <si>
    <t>794
794</t>
  </si>
  <si>
    <t>509
509</t>
  </si>
  <si>
    <t>505
505</t>
  </si>
  <si>
    <t>240
240</t>
  </si>
  <si>
    <t>71,5
71,5</t>
  </si>
  <si>
    <t>159,2
159,2</t>
  </si>
  <si>
    <t>273
273</t>
  </si>
  <si>
    <t>7,2
7,2</t>
  </si>
  <si>
    <t>154,38
168</t>
  </si>
  <si>
    <t>CXH51-125-468AX
CXH01-70-264AX</t>
  </si>
  <si>
    <t>1533
1396</t>
  </si>
  <si>
    <t>586
548</t>
  </si>
  <si>
    <t>723
625</t>
  </si>
  <si>
    <t>803
547</t>
  </si>
  <si>
    <t>198
125</t>
  </si>
  <si>
    <t>530
298</t>
  </si>
  <si>
    <t>838
518</t>
  </si>
  <si>
    <t>19
11</t>
  </si>
  <si>
    <t>468
264</t>
  </si>
  <si>
    <t>CXH91-160-620AX
 CXH51-125-468AX</t>
  </si>
  <si>
    <t>1845
1533</t>
  </si>
  <si>
    <t>685
586</t>
  </si>
  <si>
    <t>836
723</t>
  </si>
  <si>
    <t>1348
803</t>
  </si>
  <si>
    <t>283
198</t>
  </si>
  <si>
    <t>436
530</t>
  </si>
  <si>
    <t>1364
838</t>
  </si>
  <si>
    <t>26
19</t>
  </si>
  <si>
    <t>620
468</t>
  </si>
  <si>
    <t>CXH52-125-372AX
CXH52-110-316AX</t>
  </si>
  <si>
    <t>1533
1533</t>
  </si>
  <si>
    <t>586
586</t>
  </si>
  <si>
    <t>723
723</t>
  </si>
  <si>
    <t>803
798</t>
  </si>
  <si>
    <t>198
184</t>
  </si>
  <si>
    <t>530
434</t>
  </si>
  <si>
    <t>838
720</t>
  </si>
  <si>
    <t>19
19</t>
  </si>
  <si>
    <t>372
316</t>
  </si>
  <si>
    <r>
      <t>Cilindrata [m</t>
    </r>
    <r>
      <rPr>
        <b/>
        <vertAlign val="superscript"/>
        <sz val="8"/>
        <color theme="0"/>
        <rFont val="Calibri"/>
        <family val="2"/>
      </rPr>
      <t>3</t>
    </r>
    <r>
      <rPr>
        <b/>
        <sz val="8"/>
        <color theme="0"/>
        <rFont val="Calibri"/>
        <family val="2"/>
      </rPr>
      <t>/h]</t>
    </r>
  </si>
  <si>
    <t>Reciprocating</t>
  </si>
  <si>
    <t>Screw</t>
  </si>
  <si>
    <t>Isobutano</t>
  </si>
  <si>
    <t>LRA, DOL [A]</t>
  </si>
  <si>
    <t>MRA (I_max_op) [A]</t>
  </si>
  <si>
    <t>P_max_op HP [bar]</t>
  </si>
  <si>
    <t>P_max_static LP [bar]</t>
  </si>
  <si>
    <t>P_max_statica LP [bar]</t>
  </si>
  <si>
    <t xml:space="preserve">T Model </t>
  </si>
  <si>
    <t>Kinematic viscosity at 40°C [cSt]</t>
  </si>
  <si>
    <t>Kinematic viscosity at 100°C [cSt]</t>
  </si>
  <si>
    <t>Viscosity index [-]</t>
  </si>
  <si>
    <t>Pour point [°C]</t>
  </si>
  <si>
    <t>Flash point [°C]</t>
  </si>
  <si>
    <t>Density at 15°C [g/cm^3]</t>
  </si>
  <si>
    <t>Moisture content [ppm]</t>
  </si>
  <si>
    <t>Total acidity [mgKOH/g]</t>
  </si>
  <si>
    <t>Color [APHA]</t>
  </si>
  <si>
    <t>Pickling efficiency [%]</t>
  </si>
  <si>
    <t>71
84</t>
  </si>
  <si>
    <t>AVVERTENZA IMPORTANTE</t>
  </si>
  <si>
    <t xml:space="preserve">In tutte le operazioni durante le quali si maneggia l’olio, evitare sversamenti e gocciolamenti. Ove capitasse, nel caso di modeste quantità ripulire con cura le parti unte altrimenti raccogliere l’olio sversato e smaltirlo come prescritto dalla normativa inerente lo smaltimento degli oli esausti.  </t>
  </si>
  <si>
    <t>3.1_salvaguardia_ambientale_olio.png</t>
  </si>
  <si>
    <t>PdC Air and Ground</t>
  </si>
  <si>
    <t>L’utilizzo di fluidi antigelo è previsto al fine di evitare fenomeni di ghiacciamento in quanto, in queste versioni, il lato sorgente è un circuito chiuso che può raggiungere temperature prossime o inferiori a 0°C. Il fluido antigelo impiegato è glicole monoetilenico passivante.</t>
  </si>
  <si>
    <t>In tutte le operazioni durante le quali si utilizza il fluido antigelo, evitare sversamenti e gocciolamenti. Ove capitasse, nel caso di modeste quantità, sciacquare abbondantemente le parti coinvolte in modo da diluirlo il più possibile. Nel caso di sversamenti più importanti raccogliere il fluido sversato e inviarlo ad impianti di smaltimento autorizzati o ad incenerimento in condizioni controllate; in ogni caso operare secondo le vigenti disposizioni locali e nazionali.</t>
  </si>
  <si>
    <t>3.1_salvaguardia_ambientale_antigelo.png</t>
  </si>
  <si>
    <r>
      <t>Persistenza, degradazione e impatto ambientale</t>
    </r>
    <r>
      <rPr>
        <b/>
        <sz val="11"/>
        <color theme="1"/>
        <rFont val="Calibri"/>
        <family val="2"/>
        <scheme val="minor"/>
      </rPr>
      <t xml:space="preserve"> </t>
    </r>
  </si>
  <si>
    <t>Utilizzare il fluido antigelo secondo le buone pratiche lavorative, evitando scrupolosamente di disperdere il prodotto nell'ambiente in quanto può risultare contaminante. In particolare, nelle installazioni di tipo G, assicurarsi che tutte le giunzioni delle sonde geotermiche e relative tubazioni di collegamento siano esenti da perdite al fine di evitare di contaminare il sottosuolo e le falde sotterranee.</t>
  </si>
  <si>
    <t>In caso di immissione accidentale in corsi d'acqua ossigenare abbondantemente.</t>
  </si>
  <si>
    <t>Classe di pericolo e codice di categoria del Regolamento CE 1272/ 2008 (CLP):</t>
  </si>
  <si>
    <r>
      <t>·</t>
    </r>
    <r>
      <rPr>
        <sz val="7"/>
        <color theme="1"/>
        <rFont val="Times New Roman"/>
        <family val="1"/>
      </rPr>
      <t xml:space="preserve">         </t>
    </r>
    <r>
      <rPr>
        <sz val="11"/>
        <color theme="1"/>
        <rFont val="Calibri"/>
        <family val="2"/>
        <scheme val="minor"/>
      </rPr>
      <t>Gas infiammabili - Categoria 1 - Pericolo (H220)</t>
    </r>
  </si>
  <si>
    <r>
      <t>·</t>
    </r>
    <r>
      <rPr>
        <sz val="7"/>
        <color theme="1"/>
        <rFont val="Times New Roman"/>
        <family val="1"/>
      </rPr>
      <t xml:space="preserve">         </t>
    </r>
    <r>
      <rPr>
        <sz val="11"/>
        <color theme="1"/>
        <rFont val="Calibri"/>
        <family val="2"/>
        <scheme val="minor"/>
      </rPr>
      <t>Gas sotto pressione - Gas liquefatti - Attenzione (H280)</t>
    </r>
  </si>
  <si>
    <t>Evitare che gli abiti si impregnino di prodotto. Assicurare una adeguata ventilazione.</t>
  </si>
  <si>
    <t>Se le condizioni sono sufficientemente sicure, isolare la fonte della perdita.</t>
  </si>
  <si>
    <t>In presenza di spandimenti di modesta entità, lasciare evaporare il materiale a condizione che vi sia una ventilazione adeguata.</t>
  </si>
  <si>
    <t>Nel caso di perdite di entità rilevante, evitarne l'ingresso in fognature, scantinati, scavi e zone dove l'accumulo può essere pericoloso, ventilare adeguatamente la zona e contenere il materiale versato con sabbia, terra o altro materiale assorbente idoneo.</t>
  </si>
  <si>
    <t>Concentrazioni atmosferiche elevate possono causare effetti anestetici con possibile perdita di coscienza. Esposizioni prolungate possono causare anomalie del ritmo cardiaco e provocare morte improvvisa.</t>
  </si>
  <si>
    <t>Concentrazioni più elevate possono causare asfissia a causa del contenuto d’ossigeno ridotto nell’atmosfera.</t>
  </si>
  <si>
    <t>Prestare la massima attenzione ai simboli e alle indicazioni poste sulla macchina.</t>
  </si>
  <si>
    <t>Nel caso in cui permangano dei rischi malgrado tutte le disposizioni adottate, sono state applicate sulla macchina delle targhette adesive secondo quanto indicato nella norma ISO 3864.</t>
  </si>
  <si>
    <t>Sono state apposte delle indicazioni di sicurezza indelebili che identificano le parti potenzialmente pericolose. Le etichette di segnalazione non devono essere rimosse per nessun motivo. Nel caso in cui le etichette non fossero più chiaramente comprensibili a seguito, per esempio, dell’utilizzo di sostanze detergenti aggressive, si dovrà tempestivamente provvedere alla sostituzione dell’etichetta.</t>
  </si>
  <si>
    <t>GLICOLE</t>
  </si>
  <si>
    <t>A meno di richieste diverse da parte del cliente, è previsto il trasporto con bilico con consegna sponda camion.</t>
  </si>
  <si>
    <t>Le macchine vengono fornite in casse di legno pallettizzate e sono movimentabili solo tramite mezzi dotati di forche</t>
  </si>
  <si>
    <t>Piccole (fino a T140, compresa anche T200)</t>
  </si>
  <si>
    <t>Per agevolarne la movimentazione sono presenti dei ganci di sollevamento in ferro amovibili.</t>
  </si>
  <si>
    <t>4.1_Ganci_di_sollevamento.png</t>
  </si>
  <si>
    <t xml:space="preserve">Al fine di garantire l’incolumità di terzi e di cose, il trasporto della macchina deve essere effettuato da figure abilitate nel rispetto della normativa sui trasporti e sulla sicurezza vigenti. </t>
  </si>
  <si>
    <t>This manual is supplied with every TEON brand high-temperature heat pump. For simplicity's sake, the heat pump may be referred to as "machine" or "product."</t>
  </si>
  <si>
    <t>In the Air versions, the terms “main unit” and “outdoor unit” will be used to identify the individual units.</t>
  </si>
  <si>
    <t>For details on product taxonomy and identification, please refer to the relevant chapter in the Use and Maintenance Manual.</t>
  </si>
  <si>
    <t>This manual provides detailed information on the precautions, warnings, and suggestions for the correct, optimal, and safe installation of heat pumps, as well as the steps to be taken during initial start-up and the operations required for safe operation of the machine. All descriptions are accompanied by simplified flowcharts to better understand the sequence of operations.</t>
  </si>
  <si>
    <t>The technical knowledge required to handle high-temperature heat pumps using hydrocarbon gases is assumed to be already possessed by anyone using this manual.</t>
  </si>
  <si>
    <t>All materials, components, products, equipment, supplies in general and anything else used, supplied and installed are and must remain new, of the best quality on the market, produced and processed to a perfect standard and must correspond to the service for which they are intended and to the performance characteristics required by the machine of which they are an integral part.</t>
  </si>
  <si>
    <t>Regarding materials and supplies used for installation, Regulation (EU) No. 305/2011 requires mandatory CE marking if they are intended to be permanently incorporated into construction works or parts thereof and whose performance affects the performance of the construction works themselves.</t>
  </si>
  <si>
    <t>Upon delivery of the machine, in addition to this updated manual, the Use and Maintenance Manual, the Maintenance Manual, the General Conditions of Sale and the CE Declaration of Conformity will be delivered, all compliant with the supply and all in their latest revision.</t>
  </si>
  <si>
    <t>The Use and Maintenance Manual describes in detail all the operations that the user can carry out during normal operation of the machine for optimal and safe management.</t>
  </si>
  <si>
    <t>The Maintenance Manual describes the operations, tests and checks required during ordinary and extraordinary maintenance, along with the frequency of interventions and any consumables to be used.</t>
  </si>
  <si>
    <t>The attached General Conditions of Sale provides information regarding the general conditions of sale for the machine.</t>
  </si>
  <si>
    <t>To ensure correct installation and optimal, long-lasting, and safe use of the product, it is necessary to scrupulously follow the instructions in this Manual, paying particular attention to the paragraph on safety regulations.</t>
  </si>
  <si>
    <t>Failure to comply with the instructions given in the Manual releases TEON from any liability in the event of damage caused to things, people or animals.</t>
  </si>
  <si>
    <t>For detailed information regarding the machine warranty, please refer to the attached General Conditions of Sale.</t>
  </si>
  <si>
    <t>Informazioni ecologiche principali sui tipi di fluidi frigorigeni impiegati</t>
  </si>
  <si>
    <t>For general information regarding the machine's general safety regulations, please refer to the relevant chapter in the Use and Maintenance Manual.</t>
  </si>
  <si>
    <t>Below is specific information regarding handling, installation, and maintenance by experienced operators qualified to install and maintain the machines.</t>
  </si>
  <si>
    <t>Persistence, degradation and environmental impact</t>
  </si>
  <si>
    <t>Classificazione 67/548/CE o 1999/45/CE: F+; R12</t>
  </si>
  <si>
    <t xml:space="preserve">Pericoli fisici: </t>
  </si>
  <si>
    <t xml:space="preserve">• Gas infiammabili - Categoria 1 - Pericolo (H220) </t>
  </si>
  <si>
    <t>• Gas sotto pressione - Gas liquefatti - Attenzione (H280)</t>
  </si>
  <si>
    <t xml:space="preserve">Il refrigerante utilizzato si decompone con relativa rapidità nell’atmosfera inferiore (troposfera). I prodotti di decomposizione sono altamente disperdibili e quindi hanno una concentrazione molto bassa. Non influenzano lo smog fotochimico (cioè non rientrano tra i composti organici volatili VOC - secondo quanto stabilito dall’accordo UNECE). Il potenziale di distruzione dell’ozono (ODP) è nullo. Il Global Warming Potential (GWP) è pari a 3 (su 100 anni). Le sostanze sono regolamentate dal Protocollo di Montreal (revisione del 1992). Classe di pericolo e codice di categoria del Regolamento CE 1272/ 2008 (CLP):
</t>
  </si>
  <si>
    <t>The refrigerant used decomposes relatively quickly in the lower atmosphere (troposphere). The decomposition products are highly dispersible and therefore have a very low concentration. They do not affect photochemical smog (i.e., they are not classified as volatile organic compounds (VOCs) - as established by the UNECE agreement). The ozone depletion potential (ODP) is zero. The Global Warming Potential (GWP) is 3 (over 100 years). The substances are regulated by the Montreal Protocol (1992 revision). Hazard class and category code of EC Regulation 1272/2008 (CLP):</t>
  </si>
  <si>
    <t>Physical hazards:</t>
  </si>
  <si>
    <t>• Flammable gases - Category 1 - Danger (H220)</t>
  </si>
  <si>
    <t>• Gases under pressure - Liquefied gas - Warning (H280)</t>
  </si>
  <si>
    <t>Classification 67/548/EC or 1999/45/EC: F+; R12</t>
  </si>
  <si>
    <t>Accidental Release Measures</t>
  </si>
  <si>
    <t>Move unnecessary personnel away. Ensure adequate personal protection using:</t>
  </si>
  <si>
    <t>Prevent clothing from becoming saturated. Ensure adequate ventilation. If conditions are safe, isolate the source of the leak. For small spills, allow the material to evaporate provided there is adequate ventilation. For large spills, prevent entry into sewers, basements, excavations, and areas where accumulation could be dangerous. Ventilate the area adequately and contain the spilled material with sand, earth, or other suitable absorbent material.</t>
  </si>
  <si>
    <t>Extinguishing media</t>
  </si>
  <si>
    <t>Special hazards arising from the substance or mixture</t>
  </si>
  <si>
    <t>Advice for firefighters</t>
  </si>
  <si>
    <t>Specific methods: Stop the flow of product if possible. Move away from the container and cool it with water from a protected position. Do not extinguish burning gas unless absolutely necessary. Explosive re-ignition may occur. Extinguish surrounding flames. Use self-contained breathing apparatus in confined spaces.</t>
  </si>
  <si>
    <t>• Respiratory protection; use self-contained breathing apparatus when entering the affected area unless the atmosphere is proven to be breathable.</t>
  </si>
  <si>
    <t>• Protective clothing.</t>
  </si>
  <si>
    <t>• Suitable extinguishing media: All known extinguishing media can be used, except water.</t>
  </si>
  <si>
    <t>• Unsuitable extinguishing media: Do not use water near live components.</t>
  </si>
  <si>
    <t>• Hazardous combustion products: Incomplete combustion may form carbon monoxide.</t>
  </si>
  <si>
    <t>• Specific hazards: Exposure to flames may cause the container to rupture or explode.</t>
  </si>
  <si>
    <t>Main ecological information on the types of refrigerants used</t>
  </si>
  <si>
    <t>Informazioni tossicologiche sul tipo di fluido frigorigeno impiegato</t>
  </si>
  <si>
    <t>Misure di pronto soccorso</t>
  </si>
  <si>
    <t>Main symptoms and effects, both acute and delayed</t>
  </si>
  <si>
    <t>In low concentrations, it may have a narcotic effect. Symptoms may include dizziness, headache, nausea, and loss of coordination. In high concentrations, it may cause asphyxiation. Symptoms may include loss of mobility and/or consciousness. Victims may not be aware of asphyxiation.</t>
  </si>
  <si>
    <t>Statement of any need for immediate medical attention and special treatment</t>
  </si>
  <si>
    <t>Inhalation</t>
  </si>
  <si>
    <t>High atmospheric concentrations may cause anesthetic effects with possible loss of consciousness. Prolonged exposure may cause cardiac rhythm abnormalities and sudden death. Higher concentrations may cause asphyxiation due to the reduced oxygen content of the atmosphere.</t>
  </si>
  <si>
    <t>Skin Contact</t>
  </si>
  <si>
    <t>Splashes of mist may cause frostbite. Skin absorption is unlikely to be hazardous. Repeated or prolonged contact may cause removal of skin fat, resulting in dryness, cracking, and dermatitis.</t>
  </si>
  <si>
    <t>Eye Contact</t>
  </si>
  <si>
    <t>Splash of liquid may cause frostbite.</t>
  </si>
  <si>
    <t>Ingestion</t>
  </si>
  <si>
    <t>Highly unlikely, but if it occurs, it may cause frostbite.</t>
  </si>
  <si>
    <t>First aid measures</t>
  </si>
  <si>
    <t>Move the victim to an uncontaminated area wearing self-contained breathing apparatus. Keep the patient warm and relaxed. Call a doctor. Perform artificial respiration if breathing stops.</t>
  </si>
  <si>
    <t>Skin and eye contact</t>
  </si>
  <si>
    <t>In case of spillage, rinse with clean water for at least 15 minutes.</t>
  </si>
  <si>
    <t>Do not induce vomiting. If the victim is conscious, rinse their mouth with water and drink 200-300 ml of water. Seek immediate medical attention.</t>
  </si>
  <si>
    <t>Further medical care</t>
  </si>
  <si>
    <t>Treat symptomatically and provide supportive care as indicated. Do not administer epinephrine, sympathomimetic drugs, or similar medications following exposure due to the risk of cardiac arrhythmia.</t>
  </si>
  <si>
    <t>The lubricating oil used is that indicated in the table below. In any case, refer to the information found on the nameplate on the compressor.</t>
  </si>
  <si>
    <t>IMPORTANT NOTICE</t>
  </si>
  <si>
    <t>When handling oil, avoid spills and drips. If spills occur, carefully clean the oily areas if only small quantities are involved. Otherwise, collect the spilled oil and dispose of it as required by the regulations governing the disposal of used oil.</t>
  </si>
  <si>
    <t>The use of antifreeze fluids is recommended to prevent icing since, in these versions, the source side is a closed circuit that can reach temperatures near or below 0°C. The antifreeze fluid used is passivating monoethylene glycol.</t>
  </si>
  <si>
    <t>IMPORTANT NOTE</t>
  </si>
  <si>
    <t>In all operations involving antifreeze fluid, avoid spills and drips. If spills occur, rinse the affected parts thoroughly with small quantities to dilute the fluid as much as possible. For larger spills, collect the spilled fluid and send it to authorized disposal facilities or for incineration under controlled conditions; in any case, proceed in accordance with current local and national regulations.</t>
  </si>
  <si>
    <t>Persistence, degradation, and environmental impact</t>
  </si>
  <si>
    <t>Use the antifreeze fluid according to good working practices, carefully avoiding release into the environment as it may be contaminating. In particular, in type G installations, ensure that all geothermal probe joints and related connecting pipes are free from leaks to avoid contaminating the subsoil and groundwater.</t>
  </si>
  <si>
    <t>In case of accidental release into waterways, provide abundant oxygen.</t>
  </si>
  <si>
    <t>Hazard class and category code of Regulation (EC) No. 1272/2008 (CLP):</t>
  </si>
  <si>
    <t>- Physical hazards:</t>
  </si>
  <si>
    <t>Prevent clothing from becoming saturated. Ensure adequate ventilation.</t>
  </si>
  <si>
    <t>If conditions are safe, isolate the source of the leak.</t>
  </si>
  <si>
    <t>For small spills, allow the material to evaporate, provided adequate ventilation is available.</t>
  </si>
  <si>
    <t>For large spills, prevent entry into sewers, basements, excavations, and areas where accumulation could be dangerous. Ventilate the area adequately and contain the spilled material with sand, earth, or other suitable absorbent material.</t>
  </si>
  <si>
    <t>Extinguishing Media</t>
  </si>
  <si>
    <t>Pericoli fisici:</t>
  </si>
  <si>
    <r>
      <rPr>
        <sz val="7"/>
        <color theme="1"/>
        <rFont val="Times New Roman"/>
        <family val="1"/>
      </rPr>
      <t xml:space="preserve"> </t>
    </r>
    <r>
      <rPr>
        <sz val="11"/>
        <color theme="1"/>
        <rFont val="Calibri"/>
        <family val="2"/>
        <scheme val="minor"/>
      </rPr>
      <t>Classificazione 67/548/CE o 1999/45/CE: F+; R12</t>
    </r>
  </si>
  <si>
    <t>·  Flammable gases - Category 1 - Danger (H220)</t>
  </si>
  <si>
    <t>·  Gases under pressure - Liquefied gases - Warning (H280)</t>
  </si>
  <si>
    <t>· Respiratory protection; use self-contained breathing apparatus when entering the affected area unless the atmosphere is proven to be breathable.</t>
  </si>
  <si>
    <t>· Protective clothing.</t>
  </si>
  <si>
    <t>· Specific hazards: Exposure to flames may cause the container to rupture or explode.</t>
  </si>
  <si>
    <t>· Hazardous combustion products: Incomplete combustion may form carbon monoxide.</t>
  </si>
  <si>
    <t>· Unsuitable extinguishing media: Do not use water in the presence of live components.</t>
  </si>
  <si>
    <t>· Suitable extinguishing media: All known extinguishing media may be used, except water.</t>
  </si>
  <si>
    <t>Main toxicological information on the type of antifreeze fluid</t>
  </si>
  <si>
    <t>Informazioni tossicologiche principali sul tipo di fluido antigelo</t>
  </si>
  <si>
    <t>High atmospheric concentrations may cause anesthetic effects, possibly resulting in loss of consciousness. Prolonged exposure may cause cardiac rhythm abnormalities and sudden death.</t>
  </si>
  <si>
    <t>Higher concentrations may cause asphyxiation due to the reduced oxygen content of the atmosphere.</t>
  </si>
  <si>
    <t>Treat symptomatically and provide supportive care as indicated. Do not administer epinephrine, sympathomimetic drugs, or similar drugs following exposure due to the risk of cardiac arrhythmia.</t>
  </si>
  <si>
    <t>IMPORTANT WARNING</t>
  </si>
  <si>
    <t>Pay close attention to the symbols and warnings on the machine.</t>
  </si>
  <si>
    <t>If risks persist despite all precautions taken, adhesive labels have been applied to the machine in accordance with ISO 3864.</t>
  </si>
  <si>
    <t>Indelible safety warnings have been affixed to identify potentially dangerous parts. Warning labels must not be removed under any circumstances. If the labels are no longer clearly understandable due, for example, to the use of aggressive cleaning agents, the label must be replaced promptly.</t>
  </si>
  <si>
    <t>Unless otherwise requested by the customer, transport by truck with tailgate delivery is provided.</t>
  </si>
  <si>
    <t>The machines are supplied in palletized wooden crates and can only be moved using forklifts.</t>
  </si>
  <si>
    <t>Removable iron lifting hooks are provided for ease of handling.</t>
  </si>
  <si>
    <t xml:space="preserve">Le macchine vengono trasportate cariche di refrigerante. Occorre precisare questa informazione al trasportatore al fine di predisporre un traporto in sicurezza e secondo le norme vigenti in ogni stato in cui transita il mezzo. </t>
  </si>
  <si>
    <t>The machines are transported filled with refrigerant. This information must be provided to the carrier to ensure safe transport and compliance with the regulations in force in each country through which the vehicle will transit.</t>
  </si>
  <si>
    <t>To ensure the safety of third parties and property, the machine must be transported by qualified personnel in compliance with current transport and safety regulations.</t>
  </si>
  <si>
    <t>Porre attenzione affinché la macchina non subisca urti accidentali durante il tragitto.</t>
  </si>
  <si>
    <t>4.1.Pericolo_generico_trasporto.png</t>
  </si>
  <si>
    <t>TEON è certificata BREEAM e LEED e, per politica aziendale ha eliminato plastica, pluriball e celoffan da tutti gli imballaggi.</t>
  </si>
  <si>
    <t>Le macchine sono protette da cartone ondulato e celofan riciclabile entrambi scaricabili come rifiuti ordinari in base al tipo di raccolta prevista dal comune di competenza.</t>
  </si>
  <si>
    <t>4.2_Cassoni_legno_riciclato.png</t>
  </si>
  <si>
    <t>vengono consegnate in cassoni di legno riciclato; per il disimballaggio è necessario svitare le viti di fissaggio del pannello frontale del cassone e rimuovere la macchina dal cassone.</t>
  </si>
  <si>
    <t xml:space="preserve">Le macchine sono dotate di Dry Cooler forniti su pallet in legno non fumicato; per il disimballaggio è necessario recidere le reggette di fissaggio del dry cooler al pallet. </t>
  </si>
  <si>
    <t>Il materiale utilizzato per l’imballaggio deve essere smaltito in base alle leggi vigenti e regolamenti locali.</t>
  </si>
  <si>
    <t>4.2_Pericolo_oggetto_affilato.png</t>
  </si>
  <si>
    <t>Be careful not to accidentally bump the machine while traveling.</t>
  </si>
  <si>
    <t>TEON is BREEAM and LEED certified and, as a company policy, has eliminated plastic, bubble wrap, and cellophane from all packaging.</t>
  </si>
  <si>
    <t>The machines are equipped with Dry Coolers supplied on non-fumed wooden pallets; to unpack them, cut the straps securing the dry cooler to the pallet.</t>
  </si>
  <si>
    <t>The packaging material must be disposed of in accordance with applicable laws and local regulations.</t>
  </si>
  <si>
    <t>3.1_Generic_danger.png</t>
  </si>
  <si>
    <t>3.1.2.1_Environmental_protection.png</t>
  </si>
  <si>
    <t>3.1_Environmental protection_oil.png</t>
  </si>
  <si>
    <t>3.1_Environmental protection_glycol.png</t>
  </si>
  <si>
    <t>4.1_Generic_danger_transport.png</t>
  </si>
  <si>
    <t>4.2_Generic_danger_sharp.png</t>
  </si>
  <si>
    <t>Height [mm]</t>
  </si>
  <si>
    <t>Seek emergency medical attention. Call 118.</t>
  </si>
  <si>
    <t>Lift the unit a few centimeters and, only after verifying the stability of the load, move the unit carefully to the place of installation. During lifting and handling, check that the unit always remains vertical. Lift the unit a few centimeters and, only after verifying the stability of the load, move the unit carefully to the place of installation. During lifting and handling, check that the unit always remains vertical. Lower the machine carefully so that it rests on the anti-vibration feet. During handling, take care not to interpose parts of the body in order to avoid the risk of any crushing or impact resulting from falls or sudden and accidental movements of the load.During handling, take care not to interpose parts of the body in order to avoid the risk of any crushing or impact resulting from falls or sudden and accidental movements of the load.After completing the handling, disassemble the lifting brackets taking care to screw the previously unscrewed bolts back to the machine side members.</t>
  </si>
  <si>
    <r>
      <t>Displacement  [m</t>
    </r>
    <r>
      <rPr>
        <vertAlign val="superscript"/>
        <sz val="8"/>
        <color rgb="FF000000"/>
        <rFont val="Calibri"/>
        <family val="2"/>
      </rPr>
      <t>3</t>
    </r>
    <r>
      <rPr>
        <sz val="8"/>
        <color rgb="FF000000"/>
        <rFont val="Calibri"/>
        <family val="2"/>
      </rPr>
      <t>/h]</t>
    </r>
  </si>
  <si>
    <t>R600a -Isobutano</t>
  </si>
  <si>
    <t>R290 - Propano</t>
  </si>
  <si>
    <t>LUBRIFICANTE COMPRESSORE - ISO VG [-]</t>
  </si>
  <si>
    <t>COMPRESSOR LUBRIFICANT - ISO VG [-]</t>
  </si>
  <si>
    <r>
      <t>Dopo averne accertato l’idoneità (</t>
    </r>
    <r>
      <rPr>
        <i/>
        <sz val="11"/>
        <color theme="1"/>
        <rFont val="Calibri"/>
        <family val="2"/>
        <scheme val="minor"/>
      </rPr>
      <t>portata</t>
    </r>
    <r>
      <rPr>
        <sz val="11"/>
        <color theme="1"/>
        <rFont val="Calibri"/>
        <family val="2"/>
        <scheme val="minor"/>
      </rPr>
      <t xml:space="preserve"> e </t>
    </r>
    <r>
      <rPr>
        <i/>
        <sz val="11"/>
        <color theme="1"/>
        <rFont val="Calibri"/>
        <family val="2"/>
        <scheme val="minor"/>
      </rPr>
      <t>stato di usura</t>
    </r>
    <r>
      <rPr>
        <sz val="11"/>
        <color theme="1"/>
        <rFont val="Calibri"/>
        <family val="2"/>
        <scheme val="minor"/>
      </rPr>
      <t>), far passare i grilli per le cinghie di sollevamento attraverso gli appositi fori dei supporti di sollevamento. Per la movimentazione è anche possibile utilizzare il carrello elevatore o il traspallet prestando attenzione a non urtare i supporti antivibranti e/o smontando questi ultimi prima di effettuare la movimentazione. 
Sollevare l’unità di pochi centimetri e, solo dopo aver verificato la stabilità del carico, movimentare l’unità con cautela fino al luogo di installazione. Durante il sollevamento e la movimentazione verificare che l’unità rimanga sempre orizzontale. Calare con cura la macchina affinché poggi sui supporti in ferro (questi ultimi sono dotati di piedini in gomma).
Durante la movimentazione avere cura di non interporre parti del corpo onde evitare il rischio di eventuali schiacciamenti o urti derivanti da cadute o movimenti repentini ed accidentali del carico.</t>
    </r>
  </si>
  <si>
    <t>5.1_Pericolo_Generico_ITA.png</t>
  </si>
  <si>
    <r>
      <t>Quando la concentrazione del refrigerante può superare il limite pratico secondo la EN378-1:2016, allegato C (pari a 0,008 kg/m</t>
    </r>
    <r>
      <rPr>
        <vertAlign val="superscript"/>
        <sz val="11"/>
        <color rgb="FF000000"/>
        <rFont val="Calibri"/>
        <family val="2"/>
        <scheme val="minor"/>
      </rPr>
      <t>3</t>
    </r>
    <r>
      <rPr>
        <sz val="11"/>
        <color rgb="FF000000"/>
        <rFont val="Calibri"/>
        <family val="2"/>
        <scheme val="minor"/>
      </rPr>
      <t xml:space="preserve"> per l’R290 e a 0,011 kg/m</t>
    </r>
    <r>
      <rPr>
        <vertAlign val="superscript"/>
        <sz val="11"/>
        <color rgb="FF000000"/>
        <rFont val="Calibri"/>
        <family val="2"/>
        <scheme val="minor"/>
      </rPr>
      <t>3</t>
    </r>
    <r>
      <rPr>
        <sz val="11"/>
        <color rgb="FF000000"/>
        <rFont val="Calibri"/>
        <family val="2"/>
        <scheme val="minor"/>
      </rPr>
      <t xml:space="preserve"> per l’R600a), i rilevatori devono essere presenti e devono almeno attivare un allarme e, nel caso della sala macchine deve attivare anche la ventilazione meccanica di emergenza. I rivelatori devono essere conformi ai requisiti di seguito indicati.</t>
    </r>
  </si>
  <si>
    <t>La posizione dei rilevatori deve essere scelta in relazione all’utilizzo e devono essere posizionati dove si concentrerà il refrigerante a seguito di una perdita.</t>
  </si>
  <si>
    <t>Il posizionamento del rilevatore deve essere effettuato tenendo in debita considerazione i modelli di flusso d'aria locali, in base alle fonti di ventilazione e alle feritoie di ubicazione. Si dovrà tener conto anche della possibilità di danni meccanici o di concentrazione.</t>
  </si>
  <si>
    <t xml:space="preserve">il rivelatore deve essere installato nel punto più basso del locale dove è installata la pompa di calore (sale macchine, spazi occupati luoghi interrati). </t>
  </si>
  <si>
    <t>L’installazione di degasatori certificati sia sul circuito lato evaporatore che lato condensatore è obbligatoria. Per installazioni in locali chiusi di qualsiasi tipo occorre inoltre collegare lo sfiato del degasatore con l’ambiente esterno con un tubo opportunatamente sigillato per permettere lo scarico del gas. Per maggiori dettagli sull’installazione si rimanda ai paragrafi dedicati §7.1, §7.2, §7.3.</t>
  </si>
  <si>
    <t>Può essere utilizzato un apposito rilevatore che deve fornire un segnale elettrico al valore prefissato della concentrazione di refrigerante (il valore prefissato) che attivi le valvole di intercettazione, il sistema di allarme, la ventilazione meccanica o altri comandi di emergenza.
I rilevatori devono essere continuamente monitorati al fine di garantirne il corretto funzionamento. In caso di guasto del rilevatore, la sequenza di emergenza dovrebbe essere attivata come se fosse stato rilevato il refrigerante.
Anche se prescritto dalla norma solo per i refrigeranti di tipo A2L, è opportuno che anche per gli A3, il valore preimpostato per il rilevatore di refrigerante a 30°C o 0°C, a seconda di quale sia più critico, debba essere impostato al 25% dell'LFL o al 50% dell'ATEL/ODL (Rif. EN378-1:2016 Allegato E).</t>
  </si>
  <si>
    <t>Per garantire che il segnale di uscita venga attivato al valore inferiore o uguale a quello preimpostato, si deve tenere conto della tolleranza di sensibilità del rilevatore. La tolleranza del rilevatore terrà conto del +/- 10% della tolleranza della tensione di linea.
Per ogni tipo di rilevatore utilizzato deve essere stabilito un periodo di manutenzione appropriato.
Il tempo di risposta del rilevatore deve essere di 30 s o meno a una concentrazione di 1,6 volte il valore preimpostato.</t>
  </si>
  <si>
    <t>Nota 1: i sensori possono essere interessati dalla presenza di gas o vapore diversi dal refrigerante. Assicurarsi che l'utilizzo di sensori non comprometta la sicurezza o l'integrità dell'impianto.</t>
  </si>
  <si>
    <t>Nota 2: la EN 60079-29-2 specifica i requisiti per la selezione dei rivelatori da adottare.</t>
  </si>
  <si>
    <t>5.1.1.1   Generale</t>
  </si>
  <si>
    <t>5.1.1.2   Ubicazione dei rivelatori</t>
  </si>
  <si>
    <t>5.1.1.3   Degasatori</t>
  </si>
  <si>
    <t>5.1.1.4   Tipologia e performance dei rilevatori</t>
  </si>
  <si>
    <t>L’installazione della macchina deve essere effettuata dal tecnico installatore abilitato ai sensi di legge dello stato in cui viene installata.</t>
  </si>
  <si>
    <r>
      <t xml:space="preserve">La macchina è progettata per essere installata all’esterno ma può anche essere installata all’interno di locali a patto che si rispettino le prescrizioni indicate di seguito; </t>
    </r>
    <r>
      <rPr>
        <b/>
        <sz val="11"/>
        <color theme="1"/>
        <rFont val="Calibri"/>
        <family val="2"/>
        <scheme val="minor"/>
      </rPr>
      <t>è comunque vietata l’installazione dell’unità principale in aree ATEX.</t>
    </r>
  </si>
  <si>
    <t xml:space="preserve">Nella scelta del luogo di installazione si devono tenere in considerazione i seguenti requisiti:
-   Il luogo di installazione deve rispettare quanto indicato nella norma EN 378-1 e seguendo le prescrizioni della norma EN 378-3.
-   Il luogo di installazione deve tenere in considerazione i rischi determinati da una accidentale fuoriuscita dei fluidi contenuti nella macchina (refrigerante, olio e antigelo). Evitare che eventuali perdite dei fluidi possano disperdersi all’interno di edifici mettendo quindi a repentaglio la salute delle persone (Rif. norme EN 378-1 e EN 378-3).
-   Se la macchina o una delle sue unità viene installata su terrazzi o comunque sui tetti degli edifici, si dovranno prendere adeguate misure affinché eventuali perdite di fluidi non possano disperdersi attraverso sistemi di aerazione, porte o aperture similari (Rif. norme EN 378-1 e EN 378-3).
-   Il piano di appoggio deve essere in bolla e in grado di reggerne il peso; l’unità può essere installata anche su staffe o mensole a patto che ne reggano il peso.  
-   Si devono rispettare gli spazi tecnici minimi raccomandati indicati di seguito. </t>
  </si>
  <si>
    <t>Prima di installare la macchina, verificare i limiti di rumorosità ammissibili nel luogo in cui essa dovrà operare.</t>
  </si>
  <si>
    <t>La macchina va posizionata rispettando gli spazi tecnici minimi raccomandati tenendo presente l’accessibilità alle connessioni acqua ed elettriche.</t>
  </si>
  <si>
    <t>Il posizionamento o la non corretta installazione della macchina possono causare un’amplificazione della rumorosità o delle vibrazioni generate durante il suo funzionamento.</t>
  </si>
  <si>
    <t>5.1.2.1   Requisiti generali</t>
  </si>
  <si>
    <t>5.1.2.2   Impianto generale di potenza</t>
  </si>
  <si>
    <t>5.1.3.1   Generale</t>
  </si>
  <si>
    <t>Se vengono utilizzati allarmi per avvertire di una perdita nella sala macchine o nello spazio occupato, l'allarme deve avvertire di una perdita di refrigerante in conformità con EN378-3:20207 par. 8.3. L'allarme deve essere attivato dal segnale proveniente dal rilevatore secondo EN 378-3:2020, cap. 9. L'allarme deve anche avvisare una persona autorizzata di intraprendere l'azione appropriata.</t>
  </si>
  <si>
    <t>5.1.3.2   Alimentazione del sistema di allarme</t>
  </si>
  <si>
    <t>5.1.3.3   Warning del sistema di allarme</t>
  </si>
  <si>
    <t>Le sale macchine non possono essere utilizzate come spazi occupati da persone non autorizzate. L'operatore deve garantire che l'accesso sia consentito solo al personale incaricato delle istruzioni che esegue la necessaria manutenzione alla sala macchine o all'impianto generale. 
Neanche le sale macchine dedicate esclusivamente alla macchina e separate dagli altri locali tecnici possono essere utilizzate come spazi occupati.</t>
  </si>
  <si>
    <t>5.1.5.3   Bruciatori e aria compressa</t>
  </si>
  <si>
    <t>5.1.5.1   Accesso ad una sala macchine</t>
  </si>
  <si>
    <t>5.1.5.2   Sfiato da/attraverso la sala macchine</t>
  </si>
  <si>
    <t>Al refrigerante deve essere impedito l'ingresso ne gli spazi vicini, scale, cortili, passerelle o sistemi di drenaggio degli edifici e il gas che fuoriesce deve essere scaricato all'esterno.
Per impedire che perdite di refrigerante contaminino il flusso d'aria attraverso uno spazio occupato, in una sala macchine non ci deve essere alcun flusso d'aria proveniente dai locali occupati, a meno che tale flusso d'aria non sia canalizzato e sigillato</t>
  </si>
  <si>
    <t>Non devono essere ammesse fiamme libere (nude) nelle sale macchine, ad eccezione di operazioni di saldatura, brasatura o attività simili e solo a condizione che la concentrazione di refrigerante sia monitorata e sia garantita un'adeguata ventilazione. Tali fiamme libere non devono essere lasciate incustodite.</t>
  </si>
  <si>
    <t>5.1.5.5   Immagazzinamento</t>
  </si>
  <si>
    <t>5.1.5.4  Fiamma libera</t>
  </si>
  <si>
    <t>I locali macchine non devono essere utilizzati per lo stoccaggio di materiali ad eccezione di strumenti, pezzi di ricambio e olio per compressori relativi alle apparecchiature installate. Qualsiasi refrigerante o materiale infiammabile o tossico deve essere immagazzinato seguento le indicazioni previste dalla normativa nazionale.</t>
  </si>
  <si>
    <t>5.1.5.6   Interruttore remoto di emergenza</t>
  </si>
  <si>
    <t>5.1.5.7   Aperture esterne alla sala macchine</t>
  </si>
  <si>
    <t>Le aperture esterne devono devono trovarsi oltre 2 m dalle scale di emergenza dell'edificio o da altre aperture dell'edificio, ad es. finestre, porte, prese di ventilazione.</t>
  </si>
  <si>
    <t>5.1.5.8   Tubazioni e canali</t>
  </si>
  <si>
    <t>5.1.5.9   Illuminazione normale</t>
  </si>
  <si>
    <t xml:space="preserve">L'illuminazione fissa deve essere selezionata e posizionata all’interno del localeal fine di fornire un'illuminazione adeguata per un funzionamento sicuro. Il livello di illuminazione e la posizione devono essere quelli richiesti dalle normative nazionali. </t>
  </si>
  <si>
    <t>5.1.5.10   Illuminazione di emergenza</t>
  </si>
  <si>
    <t>In caso di interruzione dell'illuminazione normale, deve essere presente un sistema di illuminazione di emergenza fisso o portatile, adeguato a consentire il funzionamento dei controlli e l'evacuazione del personale. Il livello di illuminazione e la posizione devono essere quelli richiesti dalle normative nazionali.</t>
  </si>
  <si>
    <t>5.1.5.11   Dimensioni e accessibilità</t>
  </si>
  <si>
    <t>5.1.5.12	   Porte, muri e condotti</t>
  </si>
  <si>
    <t>Porte e aperture</t>
  </si>
  <si>
    <t>Le sale macchine devono avere porte che si aprono verso l'esterno e in numero sufficiente per garantire che le persone possano fuggire in caso di emergenza.</t>
  </si>
  <si>
    <t>Le porte devono essere a tenuta e a chiusura automatica. Devono essere progettati in modo da poter essere aperti dall'interno (sistema antipanico). Le porte devono avere una struttura resistente al fuoco di almeno un'ora, utilizzando materiali e costruzione testati in conformità alla EN 1634. Non devono esserci aperture che consentano il passaggio involontario di refrigerante, vapori, odori e tutti gli altri gas in qualsiasi spazio occupato.</t>
  </si>
  <si>
    <t>Emergenza</t>
  </si>
  <si>
    <t>In caso di emergenza devono essere adottate precise indicazioni atte a facilitare l'uscita immediata dalla sala macchine.</t>
  </si>
  <si>
    <t>Almeno un'uscita di emergenza deve aprirsi direttamente all'aria aperta e deve condurre a un passaggio di uscita di emergenza.</t>
  </si>
  <si>
    <t>Muri, pavimenti e soffitti</t>
  </si>
  <si>
    <t>Le pareti, il pavimento e il soffitto tra la sala macchine e il resto dell'edificio devono avere una struttura resistente al fuoco almeno REI 60 ed essere ben sigillate. Devono essere realizzate con materiali e costruzione conformi alle EN 1363, EN 1364 e EN 1365.</t>
  </si>
  <si>
    <t>Nota:  I requisiti relativi alla costruzione resistente al fuoco di pareti, porte, pavimento e soffitto possono essere previsti anche dalle normative locali.</t>
  </si>
  <si>
    <t>Passaggi di servizio</t>
  </si>
  <si>
    <t>I passaggi di servizio devono essere conformi ai requisiti della EN 1366-1 e EN 1366-2 e devono essere sigillati per ridurre al minimo le perdite di refrigerante nel passaggi di servizio; inoltre devono avere almeno la stessa resistenza al fuoco delle pareti e delle porte.</t>
  </si>
  <si>
    <t>I passaggi di servizio, compresi passerelle e vespai, contenenti le tubazioni per lo sfiato del refrigerante devono essere sfiatati in un luogo sicuro per prevenire un pericoloso accumulo di refrigerante in caso di perdita. I passaggi di servizio non devono essere utilizzati per la ventilazione o l'aria condizionata.</t>
  </si>
  <si>
    <t>Condotti di ventilazione</t>
  </si>
  <si>
    <t>La lamiera per i condotti di ventilazione normale e di emergenza deve essere conformi alla EN 1507 e staffati come richiesto dalla EN 12236. Dopo il montaggio, tutte le giunzioni del condotto devono essere sigillati per ridurre al minimo le perdite di gas dal condotto. Il condotto di ventilazione deve avere almeno la stessa resistenza al fuoco delle porte e delle pareti della sala macchine</t>
  </si>
  <si>
    <t>5.1.5.13   Ventilazione</t>
  </si>
  <si>
    <t>La ventilazione dei locali macchine deve essere sufficiente sia per le normali condizioni operative che per le emergenze.</t>
  </si>
  <si>
    <t>Generale</t>
  </si>
  <si>
    <t>Se la sala macchine può essere occupata da personale non autorizzato la ventilazione deve essere conforme alle normative nazionali e comunque garantire un minimo di 4 ricambi/ora. Nel caso in cui non sia possibile raggiungere la portata di ventilazione necessaria, deve essere previsto un sistema di allarme acustico e/o visivo e, se del caso, deve essere possibile interrompere l'alimentazione elettrica.</t>
  </si>
  <si>
    <t>Ventilazione meccanica di emergenza</t>
  </si>
  <si>
    <t>Se è richiesta la rilevazione di gas nella sala macchine, il sistema di ventilazione meccanica di emergenza deve essere attivato da uno o più rilevatori, situati nella sala macchine. I rilevatori devono conformi a essere come specificato nel paragrafo successivo (Rif. EN 378-3:2016 par. 9).</t>
  </si>
  <si>
    <t>La ventilazione meccanica di emergenza deve essere dotata di due comandi di emergenza indipendenti, uno situato all'esterno della sala macchine e l'altro all'interno.</t>
  </si>
  <si>
    <t>Portata d’aria richiesta per la ventilazione meccanica di emergenza</t>
  </si>
  <si>
    <t>La portata d'aria della ventilazione meccanica deve essere almeno pari a quanto ottenuto dalla seguente formula:</t>
  </si>
  <si>
    <t>Ventilazione per condizioni normali di apertura o quando la sala macchine è occupata</t>
  </si>
  <si>
    <t>Aperture per la ventilazione meccanica</t>
  </si>
  <si>
    <t>Le aperture di ventilazione meccanica devono avere posizione e dimensioni tali da consentire una portata d'aria sufficiente tenendo conto delle caratteristiche del refrigerante, della scelta dell'aspirazione o scarico e delle prestazioni del ventilatore. Le aperture di aspirazione e scarico devono essere predisposte per evacuare il refrigerante in tutte le condizioni di fuoriuscita di refrigerante.</t>
  </si>
  <si>
    <t>5.1.6.1   Definizione di spazio occupato (Rif. EN 378-1:2016 – par. 3.2.3)</t>
  </si>
  <si>
    <t>Si tratta dello spazio in un edificio delimitato da pareti, pavimenti e soffitti e che è occupato da persone per un periodo significativo.
Nota:  Laddove gli spazi intorno allo spazio apparente occupato, non sono per costruzione o progetto a tenuta d'aria rispetto allo spazio occupato, questi possono essere considerati parte dello spazio occupato sopra; per esempio. controsoffitti vuoti, vespai, condotti, pareti mobili e porte con griglie di transito o porte a sottosquadro..</t>
  </si>
  <si>
    <t>5.1.6.2   Definizione di luogo di confort umano</t>
  </si>
  <si>
    <t>Il comfort umano è definito come una condizione mentale, che esprime soddisfazione per l'ambiente circostante. 
Condizioni di confort umano insoddisfacenti forniscono sensazioni di disagio e talvolta stress, cioè riducono la capacità del corpo umano di adattarsi alla condizione fisica anomala in cui si trova l’ambiente vissuto.
I principali parametri che si considerano per caratterizzare le condizioni di confort umano sono le seguenti (l’elenco non è esaustivo):</t>
  </si>
  <si>
    <t>Le occupazioni sono classificate rispetto alla sicurezza delle persone, che possono essere direttamente interessate in caso di funzionamento anomalo dell'impianto di refrigerazione. Le considerazioni sulla sicurezza negli impianti di refrigerazione tengono conto del sito, del numero di persone che occupano il sito e delle categorie di accesso.
Le sale macchine (Rif. EN 378-1:2016 par. 3.2.1 e 3.2.2) (vedi nota 13 successiva) non devono essere considerate spazio occupato eccetto come definito in EN378-3:2016, 5.1. Le categorie di accesso sono definite nella tabella sottoriportata.</t>
  </si>
  <si>
    <t xml:space="preserve">Nota:  Questo elenco non è esaustivo. </t>
  </si>
  <si>
    <t>5.1.6_Tabella_categorie_accesso.png</t>
  </si>
  <si>
    <t>Le occupazioni possono essere classificate anche in base a regolamenti nazionali.</t>
  </si>
  <si>
    <t>5.1.6.3   Categorie di accesso per sistemi di refrigerazione (Rif. EN 378-1:2016 – par. 5.1)</t>
  </si>
  <si>
    <t>5.1.6_Tabella_classe1_attrezzature_spazio_occupato.png</t>
  </si>
  <si>
    <t>5.1.6.4   Regole da rispettare per l’installazione in spazi occupati</t>
  </si>
  <si>
    <t>5.1.6_Tabella_classe1_attrezzature_luoghi_chiusi_ventilati.png</t>
  </si>
  <si>
    <t>5.2.2.1   Requisiti specifici per l’R290 e per l’R600a</t>
  </si>
  <si>
    <t>5.2.3.1   Impianti elettrici in sale macchine con sistemi di refrigerazione contenenti R290 e R600a</t>
  </si>
  <si>
    <t>5.2.3.2   Requisiti supplementari per l’utilizzo di R290 e R600a</t>
  </si>
  <si>
    <t>5.2.3_Tabella_classificazione_zone_ATEX.png</t>
  </si>
  <si>
    <t>Al fine di verificare se nella sala macchine ci sono dei fattori di rischio supplementari, occorre valutarla in relazione all'infiammabilità e classificarla secondo i requisiti della zona pericolosa (Rif. CEI EN 60079-10-1:2016  - Classificazione zone ATEX). 
Tale valutazione considerando l'LFL e il tipo di rilascio possono concludere che l'area pericolosa è di estensione trascurabile.
Per i requisiti di installazione elettrica fare riferimento a EN 378-1:2016 par. 7 (vedi paragrafi successivi).</t>
  </si>
  <si>
    <t>Ubicazione</t>
  </si>
  <si>
    <t>Ventilazione esausta di emergenza</t>
  </si>
  <si>
    <t>Temperatura massima superficiale</t>
  </si>
  <si>
    <t xml:space="preserve">Le superfici calde dentro la macchina ed in prossimità ad essa non devono mai superare i 370°C per l’R600a e  i 360°C per l’R290. </t>
  </si>
  <si>
    <t>Le sale macchine in cui la carica di refrigerante è superiore al limite pratico per il volume del locale devono avere una porta che si apre direttamente all'aria esterna o attraverso un apposito vestibolo attrezzato con porte a chiusura automatica e a tenuta.</t>
  </si>
  <si>
    <t>Nel caso in cui la macchina venga installata in un locale o involucro chiuso ventilato, il sistema di ventilazione deve operare come segue:</t>
  </si>
  <si>
    <r>
      <t>-</t>
    </r>
    <r>
      <rPr>
        <sz val="7"/>
        <color theme="1"/>
        <rFont val="Times New Roman"/>
        <family val="1"/>
      </rPr>
      <t xml:space="preserve">          </t>
    </r>
    <r>
      <rPr>
        <sz val="11"/>
        <color rgb="FF000000"/>
        <rFont val="Calibri"/>
        <family val="2"/>
      </rPr>
      <t>Deve essere attivato da un sensore fughe gas prima che si raggiunga il 25% del LFL. Il sensore deve essere opportunamente posizionato considerando la densità del refrigerante. Il sensore e il ventilatore devono essere controllati a intervalli regolari in accordo con le istruzioni del costruttore. L'anomalia deve essere segnalata e l'impianto deve essere messo in sicurezza con il ventilatore acceso fino a quando l'anomalia viene risolta.</t>
    </r>
  </si>
  <si>
    <t>Al fine di poter valutare la conformità ai requisiti per il sistema di ventilazione deve esere eseguita una prova a campione o sistematica.</t>
  </si>
  <si>
    <t>7.1_Caratteristiche_acqua.png</t>
  </si>
  <si>
    <t>Se è attiva l’estensione di garanzia oppure se le condizioni dell’acqua di sorgente non rispettano i valori sopra indicati, è prescritto l’utilizzo dello scambiatore sacrificale.</t>
  </si>
  <si>
    <t xml:space="preserve">Sono previste connessioni tramite attacchi tipo VICTAULIC. Le tubazioni devono essere opportunamente isolate e sostenute, onde evitare sollecitazioni anomale sulla macchina. Le tubazioni devono essere posate ben diritte ed in squadra. </t>
  </si>
  <si>
    <t>7.1_Collegamento_evaporatore.png</t>
  </si>
  <si>
    <r>
      <rPr>
        <sz val="11"/>
        <color theme="1"/>
        <rFont val="Calibri"/>
        <family val="2"/>
      </rPr>
      <t>¹</t>
    </r>
    <r>
      <rPr>
        <sz val="11"/>
        <color theme="1"/>
        <rFont val="Calibri"/>
        <family val="2"/>
        <scheme val="minor"/>
      </rPr>
      <t xml:space="preserve"> Mettere in comunicazione lo sfiato del disaeratore con l’ambiente esterno tramite un tubo flessibile opportunatamente ben sigillato.</t>
    </r>
  </si>
  <si>
    <t>N.B.: l’impianto idraulico ed il collegamento dell’impianto all’unità devono rispettare le normative vigenti del luogo di installazione. Al fine di garantire il corretto funzionamento dell’unità è necessario garantire la portata necessaria (per i limiti di portata massima e minima si fa riferimento alle tabelle presenti nel manuale tecnico).</t>
  </si>
  <si>
    <t>7.2_Collegamento_condensatore_HT.png</t>
  </si>
  <si>
    <t>7.3_Collegamento_condensatore_LT.png</t>
  </si>
  <si>
    <t>7.4_Collegamento_condensatore_HT_LT.png</t>
  </si>
  <si>
    <t xml:space="preserve">Per i modelli DC sono previste due configurazioni per le connessioni fra condensatore HT e condensatore LT:
•   se l’impianto è suddiviso in due parti distinte, una a bassa temperatura ed una ad alta, allora il condensatore LT verrà connesso all’impianto a bassa temperatura e il condensatore HT verrà connesso all’impianto ad alta temperatura come riportato nelle figure 21 e 20 rispettivamente;
•   se l’impianto non è distinto in due parti e in fase di vendita non si è comprato il kit out (vedi figura 23), allora l’installatore dovrà collegare con un’elettrovalvola la mandata del condensatore HT con la mandata del condensatore LT e con una TTT il ritorno del condensatore HT con il ritorno del condensatore LT, come riportato nella figura sottostante.
In figura è riportato lo schema di collegamento fra il condensatore HT e il condensatore LT nel caso in cui l’impianto, ove si connette la T modello DC, è costituito da due tubazioni. </t>
  </si>
  <si>
    <t>La figura sotto riportata mostra lo schema di collegamento fra l’unità principale e l’unità esterna della macchina.  Per il corretto montaggio dei componenti, si rimanda al paragrafo 7.8.</t>
  </si>
  <si>
    <t>TEON consiglia fortemente di fissare i supporti antivibranti delle unità esterne al terreno in maniera solidale, così da resistere a tutte le condizioni atmosferiche. TEON non si prende nessuna responsabilità sulle conseguenze di una mal installazione e un mal ancoraggio al terreno per tutte le proprie unità esterne.</t>
  </si>
  <si>
    <t>7.6_Schema_collegamento_unità_esterne.png</t>
  </si>
  <si>
    <t>A corredo della macchina possono essere forniti i seguenti accessori:
 -   Kit out
 -   Pompa pozzo
 -   Sensori pozzo completi di cavo
 -   Inverter pompa pozzo
 -   Contatore acqua di falda
 -   Scambiatore disaccoppiamento
 -   Circolatore
 -   Sonda e porta sonda
 -   Supporti antivibranti
 -   Giunti antivibranti
 -   Flussostati/flussimetri
 -   Kit collettore idraulico
 -   Serbatoio inerziale coibentato
 -   Serbatoio ACS doppia serpentina
 -   Sonda umidità esterna
 -   Sonda temperatura ambiente
 -   Sonda temperatura e umidità ambiente
 -   Disaeratore</t>
  </si>
  <si>
    <t>In merito alle indicazioni per l’installazione a regola d’arte di questi componenti si rimanda alle schede tecniche/manuali d’uso e installazione dei singoli componenti forniti a corredo. Di seguito sono fornite solo le principali prescrizioni atte a garantire il corretto funzionamento dell’impianto e la durabilità dei componenti.</t>
  </si>
  <si>
    <t>Prima del suo collocamento all’interno del pozzo verificare che la valvola di non ritorno non sia bloccata e che il filtro sia ben montato. La pompa dovrà essere installata ad una profondità compresa fra 1 m e 3 m dal fondo del pozzo. Prestare particolare attenzione alla giunzione con muffola al fine di garantire la tenuta stagna.</t>
  </si>
  <si>
    <t>Nessuna particolare prescrizione oltre a quelle presenti nella relativa scheda tecnica.</t>
  </si>
  <si>
    <t>Al fine di non surriscaldare la pompa pozzo, la taratura dell’inverter dovrà limitarsi ad un range compreso tra il 35% e il 100% della frequenza di rete. La programmazione andrà realizzata seguendo scrupolosamente le indicazioni del manuale. Se installato in un quadro elettrico garantire una sufficiente ventilazione al fine di evitare surriscaldamenti dannosi. L’inverter dovrà essere installato in prossimità dell’impianto e non del pozzo.</t>
  </si>
  <si>
    <t>Garantire un tronchetto rettilineo sia a monte che a valle di lunghezza almeno pari a 5 volte il diametro della tubazione. Verificare nel manuale di istruzioni se è consentita anche l’installazione obliqua o verticale.</t>
  </si>
  <si>
    <t>Gli scambiatori a piastre saldobrasati devono essere installati in maniera da lasciare abbastanza spazio intorno agli stessi da permettere le operazioni di drenaggio e manutenzione. Suggeriamo, quindi, di lasciare uno spazio libero di circa 40 cm tra lo scambiatore e le costruzioni circostanti.</t>
  </si>
  <si>
    <t>Il montaggio deve essere verticale con le connessioni in controcorrente (vedere schema di montaggio indicato nel manuale di installazione a corredo).</t>
  </si>
  <si>
    <t xml:space="preserve">Messa in servizio </t>
  </si>
  <si>
    <t>Aprire lentamente le valvole di mandata e ritorno finché viene raggiunta la temperatura di esercizio. Assicurarsi di avere svuotato lo scambiatore di tutta l’aria contenuta; eventuali residui d’aria nello stesso potrebbero ridurne l’efficienza ed aumentare il pericolo di corrosione. L’avvio deve essere lento e simultaneo per entrambi i circuiti. Se ciò non fosse possibile, iniziare dal lato caldo. In caso di sosta prolungata dell’impianto, lo scambiatore deve essere svuotato completamente, specialmente nel caso siano presenti fluidi aggressivi, ci sia pericolo di congelamento o i fluidi trattati abbiano un alto coefficiente di sporcamento.</t>
  </si>
  <si>
    <t xml:space="preserve">Funzionamento </t>
  </si>
  <si>
    <t>Controllare che lo scambiatore non sia sottoposto a nessun tipo di vibrazione/pulsazione. Controllare che le tubazioni siano state collegate correttamente allo scambiatore.</t>
  </si>
  <si>
    <t xml:space="preserve">Antigelo </t>
  </si>
  <si>
    <t>La formazione di ghiaccio danneggia lo scambiatore, bisogna, quindi, prevedere l’uso di fluidi antigelo (es. glicole) nei casi in cui il funzionamento dello scambiatore si avvicini al punto di congelamento dei fluidi utilizzati.</t>
  </si>
  <si>
    <t>ATTENZIONE: colpi d’ariete e vibrazioni possono provocare perdite di fluido dallo scambiatore.</t>
  </si>
  <si>
    <t>Attenersi scrupolosamente alle prescrizioni indicate nel manuale di installazione a corredo. Il circolatore deve essere installato in modo che spinga verso la pompa di calore. Per contenere le vibrazioni è buona norma montare giunti antivibranti a monte e a valle e supporti elastici nei fissaggi ai punti fissi.</t>
  </si>
  <si>
    <t>Prima di montare i porta sonda e le sonde assicurarsi che i pozzetti siano installati obliquamente a 45 gradi in direzione opposta al flusso. Per il resto nessuna particolare prescrizione oltre a quelle presenti nelle relative schede tecniche.</t>
  </si>
  <si>
    <t>Una volta che la macchina è stata ubicata nella posizione definitiva, avvitare completamente i dadi di registrazione dei supporti antivibranti in modo da alzare i supporti al massimo; serrare i dadi di fissaggio al telaio della macchina, registrare i supporti antivibranti in modo da staccare da terra i supporti in ferro, rimuoverli e agire sui dadi di registrazione per mettere in bolla la macchina.</t>
  </si>
  <si>
    <t>Garantire l’assenza di variazioni di geometria lungo il tubo sia a monte sia a valle dal punto di installazione del componente per una lunghezza almeno pari a 5 volte il diametro della tubazione. Verificare nel manuale di istruzioni se è consentita anche l’installazione obliqua o verticale. Verificare che la linguetta sia quella relativa al diametro di installazione e assicurarsi che la linguetta penetri all’interno del tubo fino a circa 5 mm dalla parete opposta a quella di inserimento.</t>
  </si>
  <si>
    <t>Tarare le molle di registrazione sia in condizioni di riposo, sia in condizioni di lavoro. Verificare nel manuale di istruzioni se il flussostato è a logica positiva o negativa.</t>
  </si>
  <si>
    <t>ATTENZIONE: il corretto funzionamento dei flussostati è obbligatorio all’atto della messa in servizio quindi, onde evitare un intervento a vuoto da parte dei tecnici TEON per la messa in servizio, a montaggio effettuato eseguire delle prove di funzionamento per verificare che i parametri delle uscite di commutazione/analogiche siano corrette. Effettuare le verifiche sia a circolatore spento sia acceso.</t>
  </si>
  <si>
    <t>Garantire l’assenza di variazioni di geometri lungo il tubo sia a monte sia a valle dal punto di installazione del componente per una lunghezza almeno pari a 5 volte il diametro della tubazione.
Per l’installazione dei flussimetri seguire scrupolosamente le istruzioni fornite da TEON insieme al componente, ossia gli schemi di collegamento elettrico e il manuale d’installazione.
ATTENZIONE: il corretto funzionamento dei flussimetri è obbligatorio all’atto della messa in servizio quindi, onde evitare un intervento a vuoto da parte dei tecnici TEON per la messa in servizio, a montaggio effettuato eseguire delle prove di funzionamento per verificare che i parametri delle uscite di commutazione/analogiche siano corrette. Effettuare le verifiche sia a circolatore spento sia acceso.</t>
  </si>
  <si>
    <t>7.7_Flussimetri_vortex.png</t>
  </si>
  <si>
    <t>Garantire l’assenza di variazioni di geometri lungo il tubo sia a monte sia a valle dal punto di installazione del componente per una lunghezza almeno pari a 5 volte il diametro della tubazione.
Per l’installazione dei flussimetri seguire scrupolosamente le istruzioni fornite da TEON insieme al componente. In particolare, una volta inserita la sonda nel pozzetto, prima di stringere il raccordo di processo intorno alla sonda, porre particolare attenzione nel posizionarla correttamente (la punta della sonda deve essere esattamente al centro del tubo e l’attacco chiave grande deve essere a monte, ossia esposto al fluido).
ATTENZIONE: il corretto funzionamento dei flussimetri è obbligatorio all’atto della messa in servizio quindi, onde evitare un intervento a vuoto da parte dei tecnici TEON per la messa in servizio, a montaggio effettuato eseguire delle prove di funzionamento per verificare che i parametri delle uscite di commutazione/analogiche siano corrette. Effettuare le verifiche sia a circolatore spento sia acceso.</t>
  </si>
  <si>
    <t>7.7_Flussimetri_calorimetrici.png</t>
  </si>
  <si>
    <t>Attenersi scrupolosamente alle prescrizioni indicate nei manuali di installazione dei vari componenti del kit. In particolare vedere le raccomandazioni relative al circolatore (paragrafo 7.7.7) e montare la valvola di non ritorno nel senso del flusso come indicato dalla freccia riportata del corpo valvola. Per il caricamento del glicole occorre prevedere un punto di caricamento nella parte più alta del circuito (a meno di non far uso di una pompa a ingranaggi). Miscelare il glicole nelle percentuali in volume prescritte a progetto e caricarlo nell’impianto. Prestare attenzione alle indicazioni in materia di ambiente, sicurezza e salute riportate al paragrafo 3.1.4.</t>
  </si>
  <si>
    <t>Preferibilmente il circolatore deve essere installato tra impianto e serbatoio e deve spingere verso l’impianto.</t>
  </si>
  <si>
    <t>Il circolatore deve essere installato in modo da spingere verso la pompa di calore.</t>
  </si>
  <si>
    <t>Assicurarsi che venga installata in un luogo non accessibile da terra, a nord e sempre in ombra.</t>
  </si>
  <si>
    <t>Installare nel locale generalmente più freddo ad un’altezza di circa 1,5 m dal pavimento.</t>
  </si>
  <si>
    <t>Collegare con un tubo flessibile ben sigillato lo sfiato del componente con l’ambiente esterno. Accertarsi che non ci siano perdite di nessun tipo lungo il percorso.</t>
  </si>
  <si>
    <t>Con l’unità in funzione la scheda di controllo preserva lo scambiatore lato acqua dal congelamento facendo intervenire due livelli di allarme antigelo che ferma la macchina se la temperatura della sonda, posta sullo scambiatore, raggiunge il set impostato. Il primo livello spegne la macchina al raggiungimento di una certa temperatura dell’acqua in uscita dall’evaporatore. Una volta che la temperatura torna a livelli di normale funzionamento, la macchina riparte automaticamente. Il secondo livello di allarme interviene se la temperatura raggiunta all’evaporatore risulta essere particolarmente bassa, questo blocca la macchina fino al reset manuale dell’allarme.</t>
  </si>
  <si>
    <t xml:space="preserve">Nella versione standard la temperatura minima dell’acqua all’uscita dell’evaporatore deve essere maggiore o uguale a 5°C, per temperature inferiori è obbligatorio l’utilizzo di glicole etilenico. Seguendo le indicazioni mostrate nel grafico successivo è possibile ottenere la percentuale di glicole in funzione della temperatura minima della sorgente. </t>
  </si>
  <si>
    <t>7.8_grafico_glicole.png</t>
  </si>
  <si>
    <t>7.9_collegamanti_elettrici_(R)T10_(R)T30_(R)T60_(R)T115_(R)T350.png</t>
  </si>
  <si>
    <t>7.9_collegamanti_elettrici_(R)T250.png</t>
  </si>
  <si>
    <t>7.9_collegamanti_elettrici_T70_T140.png</t>
  </si>
  <si>
    <t xml:space="preserve">Per i collegamenti elettrici dell’unità e degli accessori fare riferimento allo schema elettrico fornito a corredo. </t>
  </si>
  <si>
    <t>7.9_Pericolo_generico_elettrico_1.png</t>
  </si>
  <si>
    <t>7.9_Pericolo_generico_elettrico_2.png</t>
  </si>
  <si>
    <t>7.9_Pericolo_generico_elettrico_3.png</t>
  </si>
  <si>
    <t xml:space="preserve">Far passare i cavi di alimentazione attraverso gli opportuni pressacavi sul pannello superiore e sul quadro elettrico. L’alimentazione elettrica, deve essere portata all’interruttore di manovra-sezionatore. Il cavo di alimentazione deve essere del tipo flessibile con guaina in PVC o gomma non più leggera di H05RN-F: per la sezione fare riferimento allo schema elettrico. </t>
  </si>
  <si>
    <t>Le connessioni tra schede devono essere eseguite con cavo schermato (provvedere alla continuità dello schermo durante tutta l’estensione del cavo) costituito da 2 conduttori ritorti da 0,5 mm² e lo schermo. Lo schermo va connesso alla barra di terra presente sul quadro (da un solo lato). La distanza massima prevista è di 30 m. Posare i cavi lontano da cavi di potenza o comunque con tensione diversa o che emettono disturbi di origine elettromagnetica. Evitare di posare i cavi nelle vicinanze di apparecchiature che possono creare interferenze elettromagnetiche.</t>
  </si>
  <si>
    <t>-   Le unità devono essere posizionate rispettando gli spazi tecnici minimi raccomandati, tenendo presente l’accessibilità alle connessioni acqua ed elettriche.
-   È necessaria l’installazione di giunti elastici di collegamento; inoltre le tubazioni devono essere supportate in modo rigido e da strutture solide. "</t>
  </si>
  <si>
    <t>Nonché:
-   È consigliabile nei lunghi periodi di inattività scaricare l’acqua dall’impianto (a esclusione dei circuiti glicolati). 
-   L’eventuale vaso di espansione deve essere calcolato dal progettista in funzione del contenuto d’acqua dell’impianto.
-   Le elettropompe a servizio della macchina devono premere sulla macchina, sia sul circuito che fa capo all’evaporatore e sia sul circuito che fa capo al condensatore.
-   Sulle tubazioni facenti capo all’evaporatore e al condensatore della macchina (ingresso o uscita) è prescritta la presenza di un flussostato (FLUX) o flussimetri.
-   È consigliata l’installazione di termometri e manometri (possibilmente con riccio ammortizzatore e rubinetto premistoppa) in prossimità degli attacchi idraulici della macchina.
-   Si consiglia il montaggio di valvole di sfiato aria nei punti alti dell’impianto, e rubinetti di scarico impianto/macchina nei punti bassi dell’impianto.
-   Terminato il collegamento dell’unità, verificare che tutte le tubazioni non perdano e sfiatare l’aria contenuta nel circuito.</t>
  </si>
  <si>
    <t>Nei casi in cui è installato un sistema di allarme, la fonte di alimentazione del sistema di allarme deve provenire da una fonte di alimentazione indipendente dalla ventilazione meccanica o da altri sistemi di refrigerazione protetti dal sistema di allarme.
NOTA Per il sistema di allarme è possibile utilizzare l'alimentazione tramite batterie tampone.</t>
  </si>
  <si>
    <t>Il sistema di allarme deve garantire sia l'udibilità che la visibilità, ad esempio un cicalino con potenza sonora pari a 15 dB(A) sopra il livello di fondo e una lampada lampeggiante.
Per una sala macchine il sistema di allarme deve avvisare sia all'interno che all'esterno della sala macchine. L'allarme all'esterno della sala macchine può essere installato in un luogo sorvegliato.
Per uno spazio occupato (vedi oltre) il sistema di allarme deve avvertire almeno all'interno dello spazio occupato.
Per la categoria di accesso “a” (vedi EN378-1:2016 vedi oltre) il sistema di allarme deve anche avvisare in un luogo sorvegliato come il posto del portiere di notte così come lo spazio occupato.</t>
  </si>
  <si>
    <t>Tutte le tubazioni e i condotti di ventilazione che attraversano pareti, soffitti e pavimenti delle sale macchine, devono essere sigillati nel punto in cui attraversano il soffitto o i pavimenti o le pareti. La sigillatura deve avere almeno la stessa resistenza al fuoco delle pareti, del soffitto o del pavimento attraversato.
I tubi di scarico dei dispositivi di sfiato possono diffondere i miasmi nell'aria libera con mezzi adeguati ma lontano da qualsiasi presa d'aria dell'edificio oppure devono scaricare su dispositivi contenenti quantità adeguate di materiale assorbente idoneo.</t>
  </si>
  <si>
    <t>In caso di fuoriuscita di refrigerante a causa di perdite di componenti, l'aria dalle sale macchine deve essere sfiatata all'esterno mediante ventilazione meccanica. Questo sistema di ventilazione deve essere indipendente da qualsiasi altro sistema di ventilazione sul sito.
Nella sala macchine si deve provvedere a una fornitura sufficiente di aria di ricambio esterna e a una buona distribuzione di tale aria evitando zone morte.
Le aperture per l'aria esterna devono essere posizionate in maniera tale da evitare il ricircolo nel locale.</t>
  </si>
  <si>
    <t>-   Temperatura ambiente		T              ( 18°C &lt; T &lt; 27°C )
-   Umidità relativa dell’aria ambiente 	UR	( 30% &lt; UR &lt; 70% )
-   Velocità di movimento dell’aria ambiente	V	( ≤ 2 m/s )
-   Rumore				R	(  ≤ 40 dB(A ))
-   Qualità dell'aria    IAQ  :   contaminanti microbici (funghi, batteri), particelle sospese (fumi, polveri), gas (monossido di carbonio, radon, composti organici volatili) e ogni altro elemento che possa creare condizioni negative sulla salute. L'ARPA indica dei valori limite per ogni contaminante/particella/gas.</t>
  </si>
  <si>
    <t xml:space="preserve">La tabella che segue è stata realizzata sulla base di quanto indicato al par. C.1 e nella tabella C.2 riportati in allegato C della norma EN 378-1:2016 e riassumono le cariche massime di refrigerante ammesse in base a:
a)   Categoria di accesso al luogo di installazione (Rif. EN 378-1:2016 par. 5.3)
b)   Classe di occupazione del luogo di installazione (Rif. EN378-1:2016 par. 5.1.1 tabella 4)
c)    Tipologia del luogo di installazione:
        -   confort umano (per luogo di confort si intende un locale di relax, di spettacolo, un locale climatizzato, …)
        -   Luogo interrato
        -   Luogo fuori terra
d)   Tipologia del refrigerante utilizzato: nel nostro caso R290 e R600a (Rif. EN 378-1:2016 allegato E)
e)   Il gruppo di appartenenza (tossicità/esplosività) del refrigerante. </t>
  </si>
  <si>
    <t>Le ns macchine sono conformi alla serie EN 60335 (Sicurezza degli apparecchi elettrici di uso domestico e similari); in particolare, al fine di non causare rischi di incendio o esplosione, le nostre macchine sono costruite in modo tale che il refrigerante che dovesse fuoriuscire non fluisca o ristagni nelle aree all'interno della macchina in cui sono montati componenti e apparecchiature che potrebbero essere una fonte di ignizione e che potrebbero generare perdite funzionando in condizioni normali.
La temperatura delle superfici che possono essere esposte a perdite di refrigerante non deve superare la temperatura di autoaccensione del refrigerante pari a 370°C (Rif. EN378-1:2016, allegato E).
La disconnessione e il collegamento delle spine elettriche sulle prese non è considerato funzionamento normale. Laddove sia presente una spina e una presa di corrente, sono da considerarsi parte dell'apparecchiatura. Scollegare o collegare la spina dalla/alla presa di corrente è considerato parte del normale funzionamento a meno che non sia richiesto l'uso di un attrezzo speciale.
I portelli dei quadri e gli altri pannelli mobili presenti nella macchina possono essere aperti solo durante le operazioni di installazione, avvio, manutenzione. 
Nel caso sia necessario installare la macchina in zone ATEX 0 oppure ATEX 1, occorre richiederlo prima dell’ordine in modo da costruirla customerizzata conforme ai requisiti essenziali di sicurezza della Direttiva 94/9/CE marzo 1994 (ravvicinamento delle legislazioni degli stati membri relative agli apparecchi e ai sistemi di protezione destinati ad essere utilizzati in atmosfere potenzialmente esplosive).</t>
  </si>
  <si>
    <t xml:space="preserve">Il collegamento dell'alimentazione principale alla macchina deve essere conforme alla norma EN 60204-1:2018. </t>
  </si>
  <si>
    <t>Il ventilatore di emergenza deve avere:
a) il motore al di fuori del flusso d'aria, oppure
b) classificato per aree pericolose come richiesto in EN 378-2:2016, 6.2.14.
Il ventilatore deve essere posizionato in modo da evitare la pressurizzazione dei condotti di scarico nella sala macchine.
La ventola non deve provocare scintille se viene a contatto con il materiale del condotto.
La bocchetta di espulsione della ventilazione di scarico deve essere conforme alle normative nazionali. La bocchetta non deve essere ostruita ed avere mezzi per impedire l'ingresso di rifiuti, foglie e uccelli. Il fondo di ogni canale di risalita aperto all'esterno dovrà avere uno scarico con sifone per l'acqua piovana e con accesso per ispezione.
Per le porte che comunicano con altre aree all'interno dell'edificio e dove il rilevatore di gas non è in grado di rilevare i refrigeranti quando queste porte vengono aperte, la ventilazione di emergenza deve essere avviata quando una porta viene aperta per più di 60 s.</t>
  </si>
  <si>
    <r>
      <t>La macchina deve rispettare le seguenti condizioni di installazione:
-   Le elettropompe a servizio della macchina devono premere sulla macchina, sia sul circuito che fa capo all’evaporatore e sia sul circuito che fa capo al condensatore.
-   Installare valvole di non ritorno sulla mandata delle elettropompe.
-   A protezione dell’evaporatore e del condensatore della macchina devono essere installati filtri a cestello del tipo ad Y.
-   Sui collegamenti idraulici è prescritta l’installazione di giunti antivibranti (questi accessori possono essere acquistati da TEON in fase di ordine della macchina).
-   È necessario predisporre valvole di intercettazione sulle tubazioni in ingresso ed in uscita dalla macchina anche per agevolare interventi di manutenzione della macchina, lato impianto o lato sorgente. 
-   Devono essere installate valvole di sfiato aria nei punti alti e scarichi nei punti bassi del circuito a cui fa capo sia l’evaporatore, sia il condensatore.
-   Sulle tubazioni facenti capo all’evaporatore e al condensatore della macchina (ingresso o uscita) è obbligatoria l’installazione di un flussostato (</t>
    </r>
    <r>
      <rPr>
        <b/>
        <sz val="11"/>
        <color theme="1"/>
        <rFont val="Calibri"/>
        <family val="2"/>
        <scheme val="minor"/>
      </rPr>
      <t>FLUX</t>
    </r>
    <r>
      <rPr>
        <sz val="11"/>
        <color theme="1"/>
        <rFont val="Calibri"/>
        <family val="2"/>
        <scheme val="minor"/>
      </rPr>
      <t>) o flussimetri (questi accessori possono essere acquistati da TEON in fase di ordine della macchina).
-   È consigliata l’installazione di termometri e di manometri (possibilmente con riccio ammortizzatore e rubinetto premistoppa) in prossimità degli attacchi idraulici della macchina.
-   L’acqua del circuito primario lato impianto della pompa di calore deve avere le seguenti caratteristiche:</t>
    </r>
  </si>
  <si>
    <t>L’acqua del circuito lato sorgente della pompa di calore deve avere le seguenti caratteristiche:
-   Se non è glicolata deve avere le medesime caratteristiche dell’acqua lato impianto
-   Se è glicolata occorre in più verificare che la percentuale in volume di glicole sia sufficiente a garantire il funzionamento nelle condizioni minime di funzionamento previste (vedi par. 7.7.4 seguente).</t>
  </si>
  <si>
    <t>Le elettropompe di circolazione che saranno installate sui circuiti idraulici principali avranno caratteristiche tali da vincere, alla portata nominale, le perdite di carico dell’intero impianto e dello scambiatore della macchina.
Il funzionamento della pompa lato sorgente è normalmente subordinato al funzionamento della macchina con un’accensione anticipata e uno spegnimento ritardato rispetto ai compressori dell’unità con un tempo impostato dal costruttore.
Al comando di accensione macchina i primi dispositivi che si avviano sono le pompe (lato sorgente e utenza), prioritarie su tutto il resto dell’impianto. In fase di avviamento, l’eventuale allarme da flussostati/flussimetri di minima portata acqua, montati in prossimità dell’unità, ha tempi di intervento più lunghi, per evitare pendolazioni derivanti da bolle d’aria o turbolenza nel circuito idraulico. A regime i tempi di intervento sono invece più bassi e bloccano il funzionamento della macchina.
La pompa lato utenza mantiene un funzionamento strettamente legato al funzionamento dell’unità e si esclude solo al comando di spegnimento. Per smaltire il calore residuo sullo scambiatore ad acqua, al momento dello spegnimento della macchina, la pompa continuerà a funzionare per un tempo preimpostato prima del definitivo arresto.</t>
  </si>
  <si>
    <t>CR     Comando remoto (Comando con contatto pulito)</t>
  </si>
  <si>
    <t>DS     Doppio set-point, comando con contatto pulito (OPTIONAL)</t>
  </si>
  <si>
    <t>Quando l’unità viene posta in OFF da selettore comando remoto, sul display del pannello di controllo a bordo macchina compare la scritta OFF by digital input.</t>
  </si>
  <si>
    <t>Rimuovere il ponticello del morsetto ID8 presente sulla scheda elettronica e collegare i cavi provenienti dal selettore ON/OFF comando remoto (selettore a cura dell’installatore).</t>
  </si>
  <si>
    <t>7.9_Contatti_selettore.png</t>
  </si>
  <si>
    <t>7.9_Contatto_remoto.png</t>
  </si>
  <si>
    <t>È possibile collegare un selettore per commutare tra due set-point (OPTIONAL).</t>
  </si>
  <si>
    <t>CPI - Pompa lato impianto</t>
  </si>
  <si>
    <t>Marca Pompa: DAB, con e senza inverter.
-   Alimentazione: 230VAC dal quadro elettrico dell’utente.
-    Relé: 24VAC dal quadro elettrico dell'utente - collegamento contatto normalmente aperto (NO) tra i contatti n.12 e n.13 della pompa con inverter, o direttamente ai contatti per alimentazione in caso di pompa senza inverter. I collegamenti di segnale dal quadro elettrico della pompa di calore vengono trasmessi tramite i cavi n.75105 e cavi n.25733.
-   Segnale 0-10V: dal quadro elettrico della pompa di calore, sono presenti i segnali n.25733 e n.82502 che si collegano rispettivamente ai contatti n.3 e n.9 della pompa con inverter. 
-   NOTA BENE: Prima di effettuare i collegamenti elettrici, rimuovere il ponticello tra i contatti n.12 e n.13 (solo per le pompe con inverter).</t>
  </si>
  <si>
    <t>7.9.3_Collegamento_pompa_impianto.png</t>
  </si>
  <si>
    <t>7.9.3_Collegamento_pompa_sorgente.png</t>
  </si>
  <si>
    <t>CPS - Pompa lato sorgente</t>
  </si>
  <si>
    <t>Marca pompa: DAB, con e senza inverter.
-   Alimentazione: 230VAC dal quadro elettrico dell’utente.
-   Relé: 24VAC dal quadro elettrico dell'utente - collegamento contatto normalmente aperto (NO) tra i contatti n.12 e n.13 della pompa con inverter, o direttamente ai contatti per alimentazione in caso di pompa senza inverter. I collegamenti di segnale dal quadro elettrico della pompa di calore vengono trasmessi tramite i cavi n.75003 e cavi n.25733.
-   Segnale 0-10V: dal quadro elettrico della pompa di calore, sono presenti i segnali n.25733 e n.82501 che si collegano rispettivamente ai contatti n.3 e n.9 della pompa con inverter. 
-   NOTA BENE: Prima di effettuare i collegamenti elettrici, rimuovere il ponticello tra i contatti n.12 e n.13 (solo per le pompe con inverter).</t>
  </si>
  <si>
    <t>7.9.3_Collegamenti_flussostati.png</t>
  </si>
  <si>
    <t>Flussostati evaporatore e condensatore (lato sorgente e impianto)</t>
  </si>
  <si>
    <t>Marca flussostato: RIELS
-   Flussostato evaporatore: dal quadro elettrico della pompa di calore, sono presenti i segnali n.25734 e n.70004 che si collegano rispettivamente a contatto rosso e contatto bianco del flussostato.
-   Flussostato condensatore: dal quadro elettrico della pompa di calore, sono presenti i segnali n.25734 e n.70005 che si collegano rispettivamente a contatto rosso e contatto bianco del flussostato.</t>
  </si>
  <si>
    <t>7.9.3_Collegamenti_flussostati_pozzo.png</t>
  </si>
  <si>
    <r>
      <rPr>
        <b/>
        <sz val="11"/>
        <color theme="1"/>
        <rFont val="Calibri"/>
        <family val="2"/>
        <scheme val="minor"/>
      </rPr>
      <t>Flussostato di pozzo</t>
    </r>
    <r>
      <rPr>
        <sz val="11"/>
        <color theme="1"/>
        <rFont val="Calibri"/>
        <family val="2"/>
        <scheme val="minor"/>
      </rPr>
      <t xml:space="preserve"> (se presente scambiatore disaccoppiamento)</t>
    </r>
  </si>
  <si>
    <t>-   Collegamento in serie al flussostato evaporatore</t>
  </si>
  <si>
    <t>7.9.3_Collegamenti_flussostati_pozzo_parallelo.png</t>
  </si>
  <si>
    <t>-   Quando si utilizzano più macchine in parallelo, il flussostato di pozzo viene collegato tramite un relè con un numero di contatti pari al numero delle macchine (di seguito è rappresentato il caso di n.2 macchine installate in parallelo).</t>
  </si>
  <si>
    <t>7.9.3_Collegamenti_pompa_ACS.png</t>
  </si>
  <si>
    <t>7.9.3_Collegamenti_pompa_pozzo.png</t>
  </si>
  <si>
    <r>
      <t xml:space="preserve">Pompa pozzo </t>
    </r>
    <r>
      <rPr>
        <sz val="11"/>
        <color theme="1"/>
        <rFont val="Calibri"/>
        <family val="2"/>
        <scheme val="minor"/>
      </rPr>
      <t>(se presente scambiatore disaccoppiamento)</t>
    </r>
  </si>
  <si>
    <t>-   Collegamento dei segnali in parallelo alla pompa di sorgente (marca DAB) utilizzando il relé interno quadro elettrico dell’utente con due contatti normalmente aperti.
-   Segnale 0-10V: dal quadro elettrico della pompa di calore sono presenti i segnali n.25733 e n.82501 che si collegano ai contatti 0-10V della pompa pozzo.</t>
  </si>
  <si>
    <r>
      <t xml:space="preserve">Pompa dell’acqua calda sanitaria (ACS) </t>
    </r>
    <r>
      <rPr>
        <sz val="11"/>
        <color theme="1"/>
        <rFont val="Calibri"/>
        <family val="2"/>
        <scheme val="minor"/>
      </rPr>
      <t>(se presente la produzione dell’ACS)</t>
    </r>
  </si>
  <si>
    <t>Marca pompa: DAB, con e senza inverter.
-   Alimentazione: 230VAC dal quadro elettrico dell’utente.
-   Relé: 24VAC dal quadro elettrico dell'utente - collegamento contatto normalmente aperto (NO) tra i contatti n.12 e n.13 della pompa con inverter, o direttamente ai contatti per alimentazione in caso di pompa senza inverter. I collegamenti di segnale dal quadro elettrico della pompa di calore vengono trasmessi tramite i cavi n.75209* e cavi n.25733.
-   Segnale 0-10V: dal quadro elettrico della pompa di calore, sono presenti i segnali n.25733 e n.82501 che si collegano rispettivamente ai contatti n.3 e n.9 della pompa con inverter. 
NOTA BENE:
I.   Prima di effettuare i collegamenti elettrici, rimuovere il ponticello tra i contatti n.12 e n.13 (solo per le pompe con inverter).
II.   *Solo per i modelli T70-DC, T140-DC e (R)T250 usare il segnale n.75522 anziché n.75209.</t>
  </si>
  <si>
    <r>
      <rPr>
        <b/>
        <sz val="11"/>
        <color theme="1"/>
        <rFont val="Calibri"/>
        <family val="2"/>
        <scheme val="minor"/>
      </rPr>
      <t xml:space="preserve">Accessori ACS </t>
    </r>
    <r>
      <rPr>
        <sz val="11"/>
        <color theme="1"/>
        <rFont val="Calibri"/>
        <family val="2"/>
        <scheme val="minor"/>
      </rPr>
      <t>(se presente la produzione dell’ACS)</t>
    </r>
  </si>
  <si>
    <t>7.9.3_Collegamenti_valvola_tre_vie.png</t>
  </si>
  <si>
    <t>7.9.3_Collegamenti_sonda_esterna.png</t>
  </si>
  <si>
    <t>7.9.3_Collegamenti_sonda_boiler.png</t>
  </si>
  <si>
    <r>
      <rPr>
        <b/>
        <sz val="11"/>
        <color theme="1"/>
        <rFont val="Calibri"/>
        <family val="2"/>
        <scheme val="minor"/>
      </rPr>
      <t xml:space="preserve">Sonda boiler </t>
    </r>
    <r>
      <rPr>
        <sz val="11"/>
        <color theme="1"/>
        <rFont val="Calibri"/>
        <family val="2"/>
        <scheme val="minor"/>
      </rPr>
      <t>(se presente la produzione dell’ACS)</t>
    </r>
  </si>
  <si>
    <t>-    Dal quadro elettrico della pompa di calore si collegano i segnali n.80208 e n.802GND.</t>
  </si>
  <si>
    <r>
      <rPr>
        <b/>
        <sz val="11"/>
        <color theme="1"/>
        <rFont val="Calibri"/>
        <family val="2"/>
        <scheme val="minor"/>
      </rPr>
      <t xml:space="preserve">Sonda di temperatura esterna </t>
    </r>
    <r>
      <rPr>
        <sz val="11"/>
        <color theme="1"/>
        <rFont val="Calibri"/>
        <family val="2"/>
        <scheme val="minor"/>
      </rPr>
      <t>(se presente)</t>
    </r>
  </si>
  <si>
    <t>- Dal quadro elettrico della pompa di calore si collegano i segnali n.80207 e n.802GND.</t>
  </si>
  <si>
    <r>
      <rPr>
        <b/>
        <sz val="11"/>
        <color theme="1"/>
        <rFont val="Calibri"/>
        <family val="2"/>
        <scheme val="minor"/>
      </rPr>
      <t>Valvola 3 vie miscelatrice</t>
    </r>
    <r>
      <rPr>
        <sz val="11"/>
        <color theme="1"/>
        <rFont val="Calibri"/>
        <family val="2"/>
        <scheme val="minor"/>
      </rPr>
      <t xml:space="preserve"> (se presente)</t>
    </r>
  </si>
  <si>
    <t>-   Alimentazione: dal quadro elettrico utente.
-   Segnale 0-10V: dal quadro elettrico della pompa di calore si collegano i segnali n.82503 e n.825GND.</t>
  </si>
  <si>
    <t>7.9.3_Collegamenti_valvola_tre_vie_sorgente.png</t>
  </si>
  <si>
    <t xml:space="preserve">Tutti i circuiti idraulici dell’impianto devono essere eseguiti rispettando la normativa locale e nazionale vigente. </t>
  </si>
  <si>
    <t xml:space="preserve">È necessaria l’installazione di valvole d’intercettazione che isolino le unità dal resto dell’impianto. </t>
  </si>
  <si>
    <t>È obbligatorio il montaggio di raccoglitori di impurità di dimensioni e con perdite di carico adeguate.</t>
  </si>
  <si>
    <t>Con l’unità messa fuori servizio, bisogna prevedere in tempo allo svuotamento dell’intero contenuto d’acqua del circuito.</t>
  </si>
  <si>
    <t>L’utilizzo di additivi antigelo riduce le prestazioni della macchina. Per tale ragione, con l’impiego di tali sostanze, è preferibile una macchina dotata di scambiatori adatti all’uso dell’antigelo.</t>
  </si>
  <si>
    <t>I comandi sono costituiti dall’interruttore posto nel quadro elettrico di alimentazione esterno alla macchina e dal pannello interfaccia utente accessibile sulla macchina per la cui descrizione dei comandi si rimanda al Manuale di Uso e Manutenzione, Capitolo 7.</t>
  </si>
  <si>
    <t>L’interruttore generale, se aperto, esclude l’alimentazione elettrica. Tale interruttore va azionato solo in caso di pulizia, manutenzione o riparazione della macchina.</t>
  </si>
  <si>
    <t>7.10_Pericolo_generico_comandi_1.png</t>
  </si>
  <si>
    <t>Dispositivo di manovra e sezionamento dell’alimentazione a comando manuale. Questo interruttore, posto sul quadro elettrico dell’impianto esterno alla macchina, scollega la macchina dalla rete di alimentazione elettrica.</t>
  </si>
  <si>
    <t>L’unità è dotata di due pressostati.
-   Pressostato di alta pressione (A): quando la pressione supera il valore di taratura (15 bar) provvede allo spegnimento della macchina.
-   Pressostato di bassa pressione (B): quando la pressione scende al di sotto del valore di taratura (-0,5 bar) provvede allo spegnimento della macchina.</t>
  </si>
  <si>
    <r>
      <rPr>
        <i/>
        <sz val="11"/>
        <color theme="1"/>
        <rFont val="Calibri"/>
        <family val="2"/>
        <scheme val="minor"/>
      </rPr>
      <t>Interruttore automatico salvamotore a protezione del compressore</t>
    </r>
    <r>
      <rPr>
        <sz val="11"/>
        <color theme="1"/>
        <rFont val="Calibri"/>
        <family val="2"/>
        <scheme val="minor"/>
      </rPr>
      <t xml:space="preserve">
L’interruttore permette l’alimentazione, l’isolamento e la protezione del circuito di potenza del compressore. Le soglie di intervento del salvamotore vengono opportunamente tarate dal costruttore.
Altri interruttori magnetotermici, magnetotermici differenziali e salvamotori per la protezione di servizi, ausiliari, attuatori e carichi, vengono installati in configurazione variabile in base agli optional scelti.</t>
    </r>
  </si>
  <si>
    <t>Modifiche o variazioni di parametri di funzionamento della macchina devono essere effettuate prestando la massima attenzione a non creare situazioni di contrasto con altri parametri impostati.</t>
  </si>
  <si>
    <t>7.10_Perciolo_componente_tensione.png</t>
  </si>
  <si>
    <t>I comandi sono costituiti dall’interruttore posto nel quadro elettrico di alimentazione esterno alla macchina e dal pannello interfaccia utente accessibile sulla macchina. Per la descrizione dei principali comandi del pannello di interfaccia si rimanda al Manuale di Uso e Manutenzione, Capitolo 7; di seguito si riportano i comandi specifici relativi alla sezione “Info”; questi comandi non si utilizzano durante l’uso ma esclusivamente in fase di installazione e/o manutenzione.</t>
  </si>
  <si>
    <t>Dal menu utente si possono visualizzare i sinottici generali dell’unità. Gli stati fisici degli ingressi, delle uscite dei dispositivi e delle sonde sono disponibili in un menu collegato ai sinottici. Nel caso l’ingresso o l’uscita non siano stati abilitati, la maschera non comparirà. 
Di seguito vengono mostrate le singole maschere dei sinottici.</t>
  </si>
  <si>
    <t>7.10.5.1	 Sinottico compressore</t>
  </si>
  <si>
    <t>7.10.5_Sinottico_compressore.png</t>
  </si>
  <si>
    <t>In figura viene mostrato il sinottico del compressore:</t>
  </si>
  <si>
    <t>7.10.5_Sinottico_compressore_termini.png</t>
  </si>
  <si>
    <t>In figura viene mostrato il sinottico ExV:</t>
  </si>
  <si>
    <t>7.10.5_Sinottico_ExV.png</t>
  </si>
  <si>
    <t>7.10.5_Sinottico_ExV_termini.png</t>
  </si>
  <si>
    <t>7.10.5_Sinottico_Impianto.png</t>
  </si>
  <si>
    <t>7.10.5_Sinottico_Impianto_termini.png</t>
  </si>
  <si>
    <t>In figura viene mostrato il sinottico della sorgente:</t>
  </si>
  <si>
    <t>In figura viene mostrato il sinottico dell'impianto:</t>
  </si>
  <si>
    <t>7.10.5_Sinottico_Sorgente.png</t>
  </si>
  <si>
    <t>7.10.5_Sinottico_Sorgente_termini.png</t>
  </si>
  <si>
    <t>Il presente capitolo contiene una serie di norme e indicazioni da seguire da considerarsi complementari a quanto indicato in aggiunta nel Manuale di Manutenzione nel paragrafo P.2. Si prega pertanto di consultare in aggiunta anche il suddetto documento.</t>
  </si>
  <si>
    <t>8_Pericolo_generico.png</t>
  </si>
  <si>
    <r>
      <t xml:space="preserve">Le unità sono collaudate in fabbrica, dove sono eseguite le tarature e le impostazioni standard dei parametri che garantiscono il corretto funzionamento delle macchine in condizioni nominali di lavoro. 
</t>
    </r>
    <r>
      <rPr>
        <b/>
        <sz val="11"/>
        <color theme="1"/>
        <rFont val="Calibri"/>
        <family val="2"/>
        <scheme val="minor"/>
      </rPr>
      <t>La configurazione della macchina è effettuata in fabbrica e non deve essere mai variata se non da personale autorizzato.</t>
    </r>
  </si>
  <si>
    <t>La messa in funzione o primo avviamento della macchina (dove previsto) deve essere eseguito esclusivamente da personale qualificato autorizzato da TEON, e comunque abilitato ad operare su questa tipologia di prodotti.</t>
  </si>
  <si>
    <t>8.1_Pericolo_componente_tensione.png</t>
  </si>
  <si>
    <t>8.2_Pericolo_generico.png</t>
  </si>
  <si>
    <t>Gli allacciamenti elettrici devono essere eseguiti rispettando le normative vigenti nel luogo d’installazione e le indicazioni riportate sullo schema elettrico a corredo dell’unità.
Con riferimento al solo compressore, la Tabella mostra la procedura e le verifiche da effettuare prima dell’avviamento durante la messa in servizio.</t>
  </si>
  <si>
    <t>8.2_Tabella_procedure_avviamento.png</t>
  </si>
  <si>
    <t>Alcune ore prima della messa in funzione (almeno 24) dare tensione alla macchina al fine di alimentare le resistenze elettriche per il riscaldamento del carter del compressore. Ad ogni partenza della macchina queste resistenze si disinseriscono automaticamente.</t>
  </si>
  <si>
    <t>8.3_schema_procedure.png</t>
  </si>
  <si>
    <t>8.3_Schema_verifica_olio.png</t>
  </si>
  <si>
    <t>8.3_Schema_verifica_collegamenti_idraulici.png</t>
  </si>
  <si>
    <t>8.3_Schema_verifica_collegamenti_elettrici.png</t>
  </si>
  <si>
    <t>8.3_Schema_primo_avviamento.png</t>
  </si>
  <si>
    <t>La fermata giornaliera è comandata dal tasto ON/OFF del pannello di interfaccia utente. In questo modo viene garantita l’alimentazione alle resistenze di riscaldamento del carter del compressore ed eventuali dispositivi antigelo (si ricorda che è vietato l’utilizzo di additivi antigelo).</t>
  </si>
  <si>
    <t>Il mancato utilizzo dell’unità nel periodo invernale può causare il congelamento dell’acqua nell’impianto</t>
  </si>
  <si>
    <t>Durante i lunghi periodi di fermo macchina bisogna isolare elettricamente l’unità agendo sull’interruttore generale. Bisogna inoltre prevedere in tempo lo svuotamento dell’intero contenuto d’acqua; effettuare tale operazione garantendo il completo svuotamento di tutte le parti del circuito idraulico, lo scarico della pompa ed eventuali sifoni interni ed esterni all’unità.</t>
  </si>
  <si>
    <t>Le disposizioni del D.P.R. 74/2013, art. 7, comma 5, stabiliscono che gli impianti termici per la climatizzazione e la produzione di acqua calda sanitaria devono essere muniti di un “Libretto di impianto”.
Il D.M. 10 febbraio 2014, in attuazione di quanto previsto dal D.P.R. 74/2013, contiene i nuovi modelli di libretto di impianto e di rapporto di controllo da utilizzare per tutti gli impianti termici di climatizzazione e produzione di acqua calda sanitaria dal primo giugno 2014.
Al Capitolo 4, paragrafo 4 è possibile trovare la scheda da compilare inerente le pompe di calore riportata in figura.</t>
  </si>
  <si>
    <t>10_capitolo_libretto_impianto.png</t>
  </si>
  <si>
    <r>
      <t xml:space="preserve">-   </t>
    </r>
    <r>
      <rPr>
        <i/>
        <sz val="11"/>
        <color theme="1"/>
        <rFont val="Calibri"/>
        <family val="2"/>
        <scheme val="minor"/>
      </rPr>
      <t>Matricola</t>
    </r>
    <r>
      <rPr>
        <sz val="11"/>
        <color theme="1"/>
        <rFont val="Calibri"/>
        <family val="2"/>
        <scheme val="minor"/>
      </rPr>
      <t xml:space="preserve">: inserire la matricola presente sulla targhetta identificativa posta sulla macchina;
-  </t>
    </r>
    <r>
      <rPr>
        <i/>
        <sz val="11"/>
        <color theme="1"/>
        <rFont val="Calibri"/>
        <family val="2"/>
        <scheme val="minor"/>
      </rPr>
      <t xml:space="preserve"> Sorgente lato esterno</t>
    </r>
    <r>
      <rPr>
        <sz val="11"/>
        <color theme="1"/>
        <rFont val="Calibri"/>
        <family val="2"/>
        <scheme val="minor"/>
      </rPr>
      <t xml:space="preserve">: spuntare la casella Aria nel caso di pompa di calore in versione Air (con dry cooler), spuntare la casella Acqua nel caso di macchina in versione Water (con pozzo) o Ground (con sonde geotermiche);
-  </t>
    </r>
    <r>
      <rPr>
        <i/>
        <sz val="11"/>
        <color theme="1"/>
        <rFont val="Calibri"/>
        <family val="2"/>
        <scheme val="minor"/>
      </rPr>
      <t xml:space="preserve"> Fluido frigorigeno</t>
    </r>
    <r>
      <rPr>
        <sz val="11"/>
        <color theme="1"/>
        <rFont val="Calibri"/>
        <family val="2"/>
        <scheme val="minor"/>
      </rPr>
      <t xml:space="preserve">: inserire il fluido frigorigeno utilizzato dalla macchina, reperibile dalla targhetta identificativa posta sulla macchina (ad esempio: R600a);
-   </t>
    </r>
    <r>
      <rPr>
        <i/>
        <sz val="11"/>
        <color theme="1"/>
        <rFont val="Calibri"/>
        <family val="2"/>
        <scheme val="minor"/>
      </rPr>
      <t>Fluido lato utenze</t>
    </r>
    <r>
      <rPr>
        <sz val="11"/>
        <color theme="1"/>
        <rFont val="Calibri"/>
        <family val="2"/>
        <scheme val="minor"/>
      </rPr>
      <t xml:space="preserve">: spuntare la casella Acqua;
-   </t>
    </r>
    <r>
      <rPr>
        <i/>
        <sz val="11"/>
        <color theme="1"/>
        <rFont val="Calibri"/>
        <family val="2"/>
        <scheme val="minor"/>
      </rPr>
      <t>Tipologia di funzionamento</t>
    </r>
    <r>
      <rPr>
        <sz val="11"/>
        <color theme="1"/>
        <rFont val="Calibri"/>
        <family val="2"/>
        <scheme val="minor"/>
      </rPr>
      <t xml:space="preserve">: tra le tre tipologie spuntare la dicitura “a ciclo di compressione con motore elettrico o endotermico”;
-   </t>
    </r>
    <r>
      <rPr>
        <i/>
        <sz val="11"/>
        <color theme="1"/>
        <rFont val="Calibri"/>
        <family val="2"/>
        <scheme val="minor"/>
      </rPr>
      <t>Circuiti N°</t>
    </r>
    <r>
      <rPr>
        <sz val="11"/>
        <color theme="1"/>
        <rFont val="Calibri"/>
        <family val="2"/>
        <scheme val="minor"/>
      </rPr>
      <t>: inserire la quantità 1 oppure la quantità 2 nel caso di macchina doppio ciclo;</t>
    </r>
  </si>
  <si>
    <t>7.4_Collegamento_condensatore_HT_LT_comp.png</t>
  </si>
  <si>
    <t>7.3_Collegamento_condensatore_LT_comp.png</t>
  </si>
  <si>
    <t>7.2_Collegamento_condensatore_HT_comp.png</t>
  </si>
  <si>
    <t>7.1_Collegamento_evaporatore_comp.png</t>
  </si>
  <si>
    <r>
      <t>L'installazione elettrica generale interna a</t>
    </r>
    <r>
      <rPr>
        <b/>
        <sz val="11"/>
        <color rgb="FF000000"/>
        <rFont val="Calibri"/>
        <family val="2"/>
        <scheme val="minor"/>
      </rPr>
      <t xml:space="preserve"> </t>
    </r>
    <r>
      <rPr>
        <b/>
        <sz val="11"/>
        <color rgb="FF15A8DD"/>
        <rFont val="Calibri"/>
        <family val="2"/>
        <scheme val="minor"/>
      </rPr>
      <t>T</t>
    </r>
    <r>
      <rPr>
        <sz val="11"/>
        <color rgb="FF000000"/>
        <rFont val="Calibri"/>
        <family val="2"/>
        <scheme val="minor"/>
      </rPr>
      <t xml:space="preserve">, relativa all’illuminazione del locale, all’alimentazione di </t>
    </r>
    <r>
      <rPr>
        <b/>
        <sz val="11"/>
        <color rgb="FF15A8DD"/>
        <rFont val="Calibri"/>
        <family val="2"/>
        <scheme val="minor"/>
      </rPr>
      <t>T</t>
    </r>
    <r>
      <rPr>
        <sz val="11"/>
        <color rgb="FF000000"/>
        <rFont val="Calibri"/>
        <family val="2"/>
        <scheme val="minor"/>
      </rPr>
      <t xml:space="preserve"> o di altra apparecchiatura interna al locale, ecc., deve essere conforme alle normative nazionali e alle disposizioni della serie IEC 60364.
NOTA: ulteriori indicazioni possono essere trovate in IEC/TR 61200-52.</t>
    </r>
  </si>
  <si>
    <r>
      <t xml:space="preserve">L'alimentazione elettrica di </t>
    </r>
    <r>
      <rPr>
        <b/>
        <sz val="11"/>
        <color rgb="FF15A8DD"/>
        <rFont val="Calibri"/>
        <family val="2"/>
        <scheme val="minor"/>
      </rPr>
      <t>T</t>
    </r>
    <r>
      <rPr>
        <sz val="11"/>
        <color rgb="FF000000"/>
        <rFont val="Calibri"/>
        <family val="2"/>
        <scheme val="minor"/>
      </rPr>
      <t xml:space="preserve"> deve essere predisposta elettricamente in modo tale da poter essere interrotta indipendentemente dall'energia elettrica ad altre apparecchiature elettriche in genere e, in particolare, a qualsiasi impianto di illuminazione, unità di ventilazione, allarme e altre apparecchiature di sicurezza. Il collegamento dell'alimentazione principale di </t>
    </r>
    <r>
      <rPr>
        <b/>
        <sz val="11"/>
        <color rgb="FF15A8DD"/>
        <rFont val="Calibri"/>
        <family val="2"/>
        <scheme val="minor"/>
      </rPr>
      <t>T</t>
    </r>
    <r>
      <rPr>
        <sz val="11"/>
        <color rgb="FF000000"/>
        <rFont val="Calibri"/>
        <family val="2"/>
        <scheme val="minor"/>
      </rPr>
      <t xml:space="preserve"> deve essere conforme alla EN 60204-1:2006, Cap. 4 e 5.</t>
    </r>
  </si>
  <si>
    <r>
      <t xml:space="preserve">Per sala macchine si intende uno spazio o locale chiuso, dotato di ventilazione meccanica, sigillato dalle aree pubbliche e non accessibile al pubblico, destinato a contenere </t>
    </r>
    <r>
      <rPr>
        <b/>
        <sz val="11"/>
        <color rgb="FF15A8DD"/>
        <rFont val="Calibri"/>
        <family val="2"/>
        <scheme val="minor"/>
      </rPr>
      <t>T</t>
    </r>
    <r>
      <rPr>
        <sz val="11"/>
        <color theme="1"/>
        <rFont val="Calibri"/>
        <family val="2"/>
        <scheme val="minor"/>
      </rPr>
      <t>.
Nota 1 Una sala macchine può contenere altre apparecchiature a condizione che i requisiti di progettazione e installazione siano compatibili con i requisiti per la sicurezza del sistema di refrigerazione.
Quando viene scelta un locale chiuso per l'ubicazione della macchina, esso deve soddisfare i requisiti di seguito specificati.
Per poter determinare se è obbligatorio o meno posizionare la macchina in una apposita sala macchine di refrigerazione separata dagli altri locali, deve essere condotta un'analisi dei rischi basata sul concetto di sicurezza per il sistema di refrigerazione e tenendo conto della carica di refrigerante (l’ufficio tecnico TEON è a disposizione per informazioni di input richieste dallo specialista dell’analisi del richio).
Una sala macchine è un locale sufficientemente grande per l'ingresso delle persone.</t>
    </r>
  </si>
  <si>
    <r>
      <t xml:space="preserve">Se motori a combustione, bruciatori o i compressori d'aria si trovano in una sala macchine contenente </t>
    </r>
    <r>
      <rPr>
        <b/>
        <sz val="11"/>
        <color rgb="FF15A8DD"/>
        <rFont val="Calibri"/>
        <family val="2"/>
        <scheme val="minor"/>
      </rPr>
      <t>T</t>
    </r>
    <r>
      <rPr>
        <sz val="11"/>
        <color rgb="FF000000"/>
        <rFont val="Calibri"/>
        <family val="2"/>
        <scheme val="minor"/>
      </rPr>
      <t>, l'alimentazione dell'aria comburente per i motori a combustione o le caldaie o l'aria di alimentazione per i compressori d'aria deve essere presa dall'esterno in modo tale da impedire l'ingresso di refrigerante nell'aria di aspirazione.</t>
    </r>
  </si>
  <si>
    <r>
      <t xml:space="preserve">All'esterno del locale, in prossimità della porta della sala macchine, deve essere previsto un interruttore remoto per l'arresto di </t>
    </r>
    <r>
      <rPr>
        <b/>
        <sz val="11"/>
        <color rgb="FF15A8DD"/>
        <rFont val="Calibri"/>
        <family val="2"/>
        <scheme val="minor"/>
      </rPr>
      <t>T</t>
    </r>
    <r>
      <rPr>
        <sz val="11"/>
        <color rgb="FF000000"/>
        <rFont val="Calibri"/>
        <family val="2"/>
        <scheme val="minor"/>
      </rPr>
      <t xml:space="preserve"> in emergenza. Un interruttore ad azione simile deve essere posizionato in una posizione adeguata anche all'interno del locale. Entrambi gli interruttori devono soddisfare i requisiti per gli interruttori di emergenza secondo EN ISO 13850 e EN 60204-1.</t>
    </r>
  </si>
  <si>
    <r>
      <t>Le dimensioni della sala macchine devono consentire una facile installazione e spazio sufficiente per l'assistenza, la manutenzione, il funzionamento, la riparazione e lo smontaggio dell'apparecchiatura di refrigerazione, compreso uno spazio sufficiente per le persone che indossano dispositivi di protezione individuale.
Se necessario, devono essere previste passerelle e scale fisse per evitare di sostare o camminare sulle tubazioni, sui raccordi, sui loro supporti e strutture di supporto e sui componenti durante il funzionamento, la manutenzione, l'ispezione e la riparazione di</t>
    </r>
    <r>
      <rPr>
        <sz val="11"/>
        <color theme="8"/>
        <rFont val="Calibri"/>
        <family val="2"/>
        <scheme val="minor"/>
      </rPr>
      <t xml:space="preserve"> </t>
    </r>
    <r>
      <rPr>
        <b/>
        <sz val="11"/>
        <color rgb="FF15A8DD"/>
        <rFont val="Calibri"/>
        <family val="2"/>
        <scheme val="minor"/>
      </rPr>
      <t>T</t>
    </r>
    <r>
      <rPr>
        <sz val="11"/>
        <color rgb="FF000000"/>
        <rFont val="Calibri"/>
        <family val="2"/>
        <scheme val="minor"/>
      </rPr>
      <t>.
Al di sotto delle apparecchiature situate su passerelle e posti di lavoro permanenti ci deve essere un'altezza libera di almeno 2,1 m. I requisiti per la preparazione di eventuali cantieri di lavoro all’interno della sala macchine devono essere conformi alla EN ISO 14122-2.
Nota:  L'altezza libera è definita a partire da 2,1 m sopra la superficie di calpestio.</t>
    </r>
  </si>
  <si>
    <r>
      <t xml:space="preserve">Secondo la tabella sottoriportata (Rif. CEI EN 60079-10-1:2016  - Classificazione zone ATEX), </t>
    </r>
    <r>
      <rPr>
        <b/>
        <sz val="11"/>
        <color rgb="FF15A8DD"/>
        <rFont val="Calibri"/>
        <family val="2"/>
        <scheme val="minor"/>
      </rPr>
      <t>T</t>
    </r>
    <r>
      <rPr>
        <sz val="11"/>
        <color theme="1"/>
        <rFont val="Calibri"/>
        <family val="2"/>
        <scheme val="minor"/>
      </rPr>
      <t xml:space="preserve"> installata all’aperto o in un locale non ATEX rende il luogo di installazione Zona ATEX 2.</t>
    </r>
  </si>
  <si>
    <r>
      <t xml:space="preserve">La sala macchine deve essere ubicata in conformità alle normative locali e nazionali.
Nota:  I requisiti possono dipendere dalla quantità di carica presente all’interno di </t>
    </r>
    <r>
      <rPr>
        <b/>
        <sz val="11"/>
        <color rgb="FF15A8DD"/>
        <rFont val="Calibri"/>
        <family val="2"/>
        <scheme val="minor"/>
      </rPr>
      <t>T</t>
    </r>
    <r>
      <rPr>
        <sz val="11"/>
        <color theme="1"/>
        <rFont val="Calibri"/>
        <family val="2"/>
        <scheme val="minor"/>
      </rPr>
      <t>.</t>
    </r>
  </si>
  <si>
    <r>
      <t>-</t>
    </r>
    <r>
      <rPr>
        <sz val="7"/>
        <color theme="1"/>
        <rFont val="Times New Roman"/>
        <family val="1"/>
      </rPr>
      <t>          D</t>
    </r>
    <r>
      <rPr>
        <sz val="11"/>
        <color rgb="FF000000"/>
        <rFont val="Calibri"/>
        <family val="2"/>
      </rPr>
      <t xml:space="preserve">eve funzionare continuativamente, la portata d’aria deve essere monitorata continuamente da </t>
    </r>
    <r>
      <rPr>
        <b/>
        <sz val="11"/>
        <color rgb="FF15A8DD"/>
        <rFont val="Calibri"/>
        <family val="2"/>
      </rPr>
      <t>T</t>
    </r>
    <r>
      <rPr>
        <sz val="11"/>
        <color rgb="FF000000"/>
        <rFont val="Calibri"/>
        <family val="2"/>
      </rPr>
      <t xml:space="preserve"> e deve essere messo in sicurezza entro 10 secondi nel caso in cui la portata viene ridotta al disotto di Qmin. La messa in sicurezza avviene con il ventilatore messo in ON fino a che la fuga non viene riparata.</t>
    </r>
  </si>
  <si>
    <t>0,25 x LFL</t>
  </si>
  <si>
    <t>[kg/m^3]</t>
  </si>
  <si>
    <t>0,5 x ATEL/ODL</t>
  </si>
  <si>
    <t>[KG/M^3]</t>
  </si>
  <si>
    <t>7.10.5.2	 Sinottico ExV</t>
  </si>
  <si>
    <t>7.10.5.3	 Sinottico Impianto</t>
  </si>
  <si>
    <t>7.10.5.4 Sinottico Sorgente</t>
  </si>
  <si>
    <t>7.10.1_Sezionatore.png</t>
  </si>
  <si>
    <r>
      <t xml:space="preserve">-   </t>
    </r>
    <r>
      <rPr>
        <i/>
        <sz val="11"/>
        <color theme="1"/>
        <rFont val="Calibri"/>
        <family val="2"/>
        <scheme val="minor"/>
      </rPr>
      <t>Riscaldamento</t>
    </r>
    <r>
      <rPr>
        <sz val="11"/>
        <color theme="1"/>
        <rFont val="Calibri"/>
        <family val="2"/>
        <scheme val="minor"/>
      </rPr>
      <t>: le informazioni inerenti le prestazioni in riscaldamento sono reperibili sulla scheda tecnica fornita a corredo dei presenti manuali.</t>
    </r>
  </si>
  <si>
    <r>
      <rPr>
        <sz val="11"/>
        <color rgb="FFFFFFFF"/>
        <rFont val="Calibri"/>
        <family val="2"/>
        <scheme val="minor"/>
      </rPr>
      <t>******</t>
    </r>
    <r>
      <rPr>
        <sz val="11"/>
        <color theme="1"/>
        <rFont val="Calibri"/>
        <family val="2"/>
        <scheme val="minor"/>
      </rPr>
      <t>•        COP: inserire il valore di COP alla relativa temperatura di mandata prevista, riportato sulla scheda;</t>
    </r>
  </si>
  <si>
    <r>
      <rPr>
        <strike/>
        <sz val="11"/>
        <color rgb="FFFFFFFF"/>
        <rFont val="Calibri"/>
        <family val="2"/>
        <scheme val="minor"/>
      </rPr>
      <t>******</t>
    </r>
    <r>
      <rPr>
        <sz val="11"/>
        <color theme="1"/>
        <rFont val="Calibri"/>
        <family val="2"/>
        <scheme val="minor"/>
      </rPr>
      <t>•        Potenza assorbita nominale: inserire il valore di Potenza elettrica assorbita alla relativa temperatura di mandata prevista, riportato sulla scheda.</t>
    </r>
  </si>
  <si>
    <r>
      <rPr>
        <sz val="11"/>
        <color rgb="FFFFFFFF"/>
        <rFont val="Calibri"/>
        <family val="2"/>
        <scheme val="minor"/>
      </rPr>
      <t>******</t>
    </r>
    <r>
      <rPr>
        <sz val="11"/>
        <color theme="1"/>
        <rFont val="Calibri"/>
        <family val="2"/>
        <scheme val="minor"/>
      </rPr>
      <t>•        Potenza termica nominale: inserire il valore di Potenza termica alla relativa temperatura di mandata prevista, riportato sulla scheda;</t>
    </r>
  </si>
  <si>
    <r>
      <t xml:space="preserve">- </t>
    </r>
    <r>
      <rPr>
        <i/>
        <sz val="11"/>
        <color theme="1"/>
        <rFont val="Calibri"/>
        <family val="2"/>
        <scheme val="minor"/>
      </rPr>
      <t xml:space="preserve">  Raffrescamento</t>
    </r>
    <r>
      <rPr>
        <sz val="11"/>
        <color theme="1"/>
        <rFont val="Calibri"/>
        <family val="2"/>
        <scheme val="minor"/>
      </rPr>
      <t xml:space="preserve">: le informazioni inerenti le prestazioni in raffrescamento sono reperibili sulla scheda tecnica fornita a corredo dei presenti manuali, alla voce Raffrescamento.
</t>
    </r>
    <r>
      <rPr>
        <sz val="11"/>
        <color rgb="FFFFFFFF"/>
        <rFont val="Calibri"/>
        <family val="2"/>
        <scheme val="minor"/>
      </rPr>
      <t>******</t>
    </r>
    <r>
      <rPr>
        <sz val="11"/>
        <color theme="1"/>
        <rFont val="Calibri"/>
        <family val="2"/>
        <scheme val="minor"/>
      </rPr>
      <t xml:space="preserve">•         </t>
    </r>
    <r>
      <rPr>
        <i/>
        <sz val="11"/>
        <color theme="1"/>
        <rFont val="Calibri"/>
        <family val="2"/>
        <scheme val="minor"/>
      </rPr>
      <t>EER</t>
    </r>
    <r>
      <rPr>
        <sz val="11"/>
        <color theme="1"/>
        <rFont val="Calibri"/>
        <family val="2"/>
        <scheme val="minor"/>
      </rPr>
      <t xml:space="preserve">: inserire il valore di EER riportato sulla scheda;
</t>
    </r>
    <r>
      <rPr>
        <sz val="11"/>
        <color rgb="FFFFFFFF"/>
        <rFont val="Calibri"/>
        <family val="2"/>
        <scheme val="minor"/>
      </rPr>
      <t>******</t>
    </r>
    <r>
      <rPr>
        <sz val="11"/>
        <color theme="1"/>
        <rFont val="Calibri"/>
        <family val="2"/>
        <scheme val="minor"/>
      </rPr>
      <t xml:space="preserve">•         </t>
    </r>
    <r>
      <rPr>
        <i/>
        <sz val="11"/>
        <color theme="1"/>
        <rFont val="Calibri"/>
        <family val="2"/>
        <scheme val="minor"/>
      </rPr>
      <t>Potenza frigorifera nominale</t>
    </r>
    <r>
      <rPr>
        <sz val="11"/>
        <color theme="1"/>
        <rFont val="Calibri"/>
        <family val="2"/>
        <scheme val="minor"/>
      </rPr>
      <t xml:space="preserve">: inserire il valore di Potenza frigorifera riportato sulla scheda;
</t>
    </r>
    <r>
      <rPr>
        <sz val="11"/>
        <color rgb="FFFFFFFF"/>
        <rFont val="Calibri"/>
        <family val="2"/>
        <scheme val="minor"/>
      </rPr>
      <t>******</t>
    </r>
    <r>
      <rPr>
        <sz val="11"/>
        <color theme="1"/>
        <rFont val="Calibri"/>
        <family val="2"/>
        <scheme val="minor"/>
      </rPr>
      <t xml:space="preserve">•         </t>
    </r>
    <r>
      <rPr>
        <i/>
        <sz val="11"/>
        <color theme="1"/>
        <rFont val="Calibri"/>
        <family val="2"/>
        <scheme val="minor"/>
      </rPr>
      <t>Potenza assorbita nominal</t>
    </r>
    <r>
      <rPr>
        <sz val="11"/>
        <color theme="1"/>
        <rFont val="Calibri"/>
        <family val="2"/>
        <scheme val="minor"/>
      </rPr>
      <t>e: inserire il valore di Potenza elettrica assorbita riportato sulla scheda;</t>
    </r>
  </si>
  <si>
    <r>
      <t xml:space="preserve">Prima dell’avviamento dell’unità effettuare le seguenti verifiche.
-   L’alimentazione elettrica deve avere caratteristiche conformi a quanto indicato sulla targhetta di identificazione e/o sullo schema elettrico e deve rientrare nei seguenti limiti:
</t>
    </r>
    <r>
      <rPr>
        <sz val="11"/>
        <color rgb="FFFFFFFF"/>
        <rFont val="Calibri"/>
        <family val="2"/>
        <scheme val="minor"/>
      </rPr>
      <t>******</t>
    </r>
    <r>
      <rPr>
        <sz val="11"/>
        <color theme="1"/>
        <rFont val="Calibri"/>
        <family val="2"/>
      </rPr>
      <t>•</t>
    </r>
    <r>
      <rPr>
        <sz val="11"/>
        <color theme="1"/>
        <rFont val="Calibri"/>
        <family val="2"/>
        <scheme val="minor"/>
      </rPr>
      <t xml:space="preserve">     Variazione della frequenza di alimentazione: ±2 Hz.
</t>
    </r>
    <r>
      <rPr>
        <sz val="11"/>
        <color rgb="FFFFFFFF"/>
        <rFont val="Calibri"/>
        <family val="2"/>
        <scheme val="minor"/>
      </rPr>
      <t>******</t>
    </r>
    <r>
      <rPr>
        <sz val="11"/>
        <color theme="1"/>
        <rFont val="Calibri"/>
        <family val="2"/>
        <scheme val="minor"/>
      </rPr>
      <t xml:space="preserve">•     Variazione della tensione di alimentazione: ±10% della tensione nominale.
</t>
    </r>
    <r>
      <rPr>
        <sz val="11"/>
        <color rgb="FFFFFFFF"/>
        <rFont val="Calibri"/>
        <family val="2"/>
        <scheme val="minor"/>
      </rPr>
      <t>******</t>
    </r>
    <r>
      <rPr>
        <sz val="11"/>
        <color theme="1"/>
        <rFont val="Calibri"/>
        <family val="2"/>
        <scheme val="minor"/>
      </rPr>
      <t>•     Sbilanciamento tra le fasi di alimentazione: &lt;2%.
-   L’alimentazione elettrica deve fornire la corrente adeguata a sostenere il carico.
-   Accedere al quadro elettrico e verificare che i morsetti dell’alimentazione e dei contattori siano serrati (durante il trasporto può avvenire un loro allentamento, ciò porterebbe a malfunzionamenti).</t>
    </r>
  </si>
  <si>
    <t>6.1_T10_RT10.png</t>
  </si>
  <si>
    <t>(*) Tener conto dei supporti antivibranti considerando un aumento dell’altezza compreso fra 60 e 110 mm.</t>
  </si>
  <si>
    <t>6.1_T10_RT10_attacchi.png</t>
  </si>
  <si>
    <t>6.1_T30_RT30.png</t>
  </si>
  <si>
    <t>6.1_T30_RT30_attacchi.png</t>
  </si>
  <si>
    <t>6.1_T60_RT60.png</t>
  </si>
  <si>
    <t>6.1_T60_RT60_attacchi.png</t>
  </si>
  <si>
    <t>6.1_T70.png</t>
  </si>
  <si>
    <t>6.1_T115_RT115.png</t>
  </si>
  <si>
    <t>6.1_T115_RT115_attacchi.png</t>
  </si>
  <si>
    <t>T250</t>
  </si>
  <si>
    <t>6.1_T250.png</t>
  </si>
  <si>
    <t>T350</t>
  </si>
  <si>
    <t>6.1_T350.png</t>
  </si>
  <si>
    <t>6.1_T250_DC_attacchi.png</t>
  </si>
  <si>
    <t>6.1_T350_DC_attacchi.png</t>
  </si>
  <si>
    <t>6.1_T250_DC.png</t>
  </si>
  <si>
    <t>6.1_T140.png</t>
  </si>
  <si>
    <t>6.1_T350_DC.png</t>
  </si>
  <si>
    <t>6.1_T350MB_DC.png</t>
  </si>
  <si>
    <t>T650</t>
  </si>
  <si>
    <t>6.1_T650.png</t>
  </si>
  <si>
    <t>(*) Nel caso di installazione a pavimento tener conto dello spessore del materiale antivibrante da frapporre.</t>
  </si>
  <si>
    <t>6.2_T140_unità_esterne.png</t>
  </si>
  <si>
    <t>6.2_RT10_unità_esterne.png</t>
  </si>
  <si>
    <t>6.2_RT30_unità_esterne.png</t>
  </si>
  <si>
    <t>6.2_RT60_unità_esterne.png</t>
  </si>
  <si>
    <t>6.2_RT115_T250_unità_esterne.png</t>
  </si>
  <si>
    <t>6.2_T70_unità_esterne.png</t>
  </si>
  <si>
    <t>Di seguito vengono riportate le tabelle relative ai valori di rumore delle unità</t>
  </si>
  <si>
    <t>Se a seguito dell’installazione e dell’avvio dell’unità si riscontra l’insorgere di vibrazioni strutturali dell’edificio che provochino risonanze tali da generare rumore in alcuni punti dello stesso è necessario contattare un tecnico competente in acustica che analizzi in modo completo il problema.</t>
  </si>
  <si>
    <t>La macchina va installata rispettando gli spazi tecnici necessari a garantire l’accessibilità alle connessioni idrauliche ed elettriche e l’eventuale manutenibilità dei componenti meccanici o elettrici.</t>
  </si>
  <si>
    <t>6.5_schema_distanze.png</t>
  </si>
  <si>
    <t>6.5_schema_distanze_unità_esterne.png</t>
  </si>
  <si>
    <t xml:space="preserve">La scelta del luogo di installazione va fatta rispettando quanto previsto dalla norma EN 378-1 e seguendo le prescrizioni della norma EN 378-3. Tuttavia, il luogo di installazione deve comunque prendere in considerazione gli eventuali rischi relativi ad una accidentale fuoriuscita del gas frigorifero (R600a) contenuto all’interno della macchina. 
La macchina nasce per installazioni all’esterno per cui è possibile installarla anche all’esterno senza la necessità di particolari precauzioni in quanto è stata progettata per sopportare le intemperie. Nel caso di installazione in ambienti chiusi si rimanda al Capitolo 4 precedente o, in casi particolari, al nostro ufficio tecnico al fine di valutare e concordare le modalità di installazione. Premessa fondamentale nel caso di installazioni all’interno deve essere l’adeguata e sufficiente ventilazione dell’ambiente al fine di prevenire la formazione di concentrazioni di gas refrigerante.  
Non installare la macchina vicino a materiali infiammabili o che possano essere causa d’incendio. </t>
  </si>
  <si>
    <r>
      <t>Il locale deve garantire il flusso d'aria tra lo spazio interno alla macchina e l'interno del locale. Il costruttore del sistema di ventilazione deve specificare il condotto di ventilazione in termini di dimensione e numero di curve; inoltre occorre indicare la caduta di pressione massima in Pascal [Pa]. La misurazione della pressione negativa all'interno della macchina deve essere pari o superiore a 20 Pa e la portata all'esterno deve essere di almeno Q</t>
    </r>
    <r>
      <rPr>
        <vertAlign val="subscript"/>
        <sz val="11"/>
        <color theme="1"/>
        <rFont val="Calibri"/>
        <family val="2"/>
        <scheme val="minor"/>
      </rPr>
      <t>min</t>
    </r>
    <r>
      <rPr>
        <sz val="11"/>
        <color theme="1"/>
        <rFont val="Calibri"/>
        <family val="2"/>
        <scheme val="minor"/>
      </rPr>
      <t xml:space="preserve"> con una portata di ventilazione minima di 2 m3/h. La sezione del condotto di ventilazione non deve essere limitata da alcun componente. Nel condotto non devono essere presenti sorgenti di accensione.
Q</t>
    </r>
    <r>
      <rPr>
        <vertAlign val="subscript"/>
        <sz val="11"/>
        <color theme="1"/>
        <rFont val="Calibri"/>
        <family val="2"/>
        <scheme val="minor"/>
      </rPr>
      <t>min</t>
    </r>
    <r>
      <rPr>
        <sz val="11"/>
        <color theme="1"/>
        <rFont val="Calibri"/>
        <family val="2"/>
        <scheme val="minor"/>
      </rPr>
      <t xml:space="preserve"> deve essere calcolata come segue:</t>
    </r>
  </si>
  <si>
    <r>
      <t>Q</t>
    </r>
    <r>
      <rPr>
        <vertAlign val="subscript"/>
        <sz val="11"/>
        <color theme="1"/>
        <rFont val="Calibri"/>
        <family val="2"/>
        <scheme val="minor"/>
      </rPr>
      <t>min</t>
    </r>
    <r>
      <rPr>
        <sz val="11"/>
        <color theme="1"/>
        <rFont val="Calibri"/>
        <family val="2"/>
        <scheme val="minor"/>
      </rPr>
      <t xml:space="preserve"> = 15 x s x (m</t>
    </r>
    <r>
      <rPr>
        <vertAlign val="subscript"/>
        <sz val="11"/>
        <color theme="1"/>
        <rFont val="Calibri"/>
        <family val="2"/>
        <scheme val="minor"/>
      </rPr>
      <t>c</t>
    </r>
    <r>
      <rPr>
        <sz val="11"/>
        <color theme="1"/>
        <rFont val="Calibri"/>
        <family val="2"/>
        <scheme val="minor"/>
      </rPr>
      <t>/ρ) ≥ 2 m</t>
    </r>
    <r>
      <rPr>
        <vertAlign val="superscript"/>
        <sz val="11"/>
        <color theme="1"/>
        <rFont val="Calibri"/>
        <family val="2"/>
        <scheme val="minor"/>
      </rPr>
      <t>3</t>
    </r>
    <r>
      <rPr>
        <sz val="11"/>
        <color theme="1"/>
        <rFont val="Calibri"/>
        <family val="2"/>
        <scheme val="minor"/>
      </rPr>
      <t>/h</t>
    </r>
  </si>
  <si>
    <t xml:space="preserve">Nel caso di installazione all’aperto, l’accesso è consentito solo a persone autorizzate e devono essere messe a conoscenza delle precauzioni generali di sicurezza.
Al fine di impedire l’accesso alle persone non autorizzate si suggerisce di transennare la macchina (è sufficiente anche catenella attorno all’unità) e di apporre un cartello indicante la dicitura: “Vietato l’ingresso alle persone non autorizzate”. 
Inoltre occorre ottemperare a quanto prescritto per tutti i sistemi di refrigerazione in generale (Rif. EN 378-3:2016 – par. 4.2) e di seguito indicato.
“I sistemi di refrigerazione situati all'aperto devono essere posizionati in modo da evitare che il refrigerante fuoriuscito fluisca in un edificio o metta in pericolo persone e proprietà. In caso di perdita, il refrigerante non deve essere in grado di fluire in alcuna bocchetta d'aria di rinnovo dei sistemi di ventilazione, botola o apertura simile. Laddove per le apparecchiature di refrigerazione sia previsto un riparo contro le intemperie, ancorché all’aperto, esso deve avere una sufficiente ventilazione naturale o forzata.
E’ considerata installazione all’aperto anche l’installazione in un locale in cui almeno una delle pareti più lunghe è aperta all'aria esterna mediante feritoie con area libera del 75% e che coprono almeno l'80% della superficie della parete (o equivalente se più di una parete è verso l'esterno).
Per i sistemi di refrigerazione installati all'esterno in un luogo in cui un rilascio di refrigerante può ristagnare, ad es. luoghi all’aperto interrati, l'installazione deve essere conforme ai requisiti per il rilevamento dei gas e la ventilazione dei locali macchine (vedi paragrafo successivo). 
</t>
  </si>
  <si>
    <t>Portata ventilazione emergenza [m^3/h]</t>
  </si>
  <si>
    <t>PORTATA VENTILAZIONE D'EMERGENZA [m^3/h]</t>
  </si>
  <si>
    <t xml:space="preserve"> EMERGENCY VENTILATION FLOW RATE [m^3/h]</t>
  </si>
  <si>
    <t>Il rilevatore dovrà attivare un segnale di allarme a un livello non superiore al 25% della LFL del refrigerante. Il rilevatore deve continuare ad attivarsi a concentrazioni più elevate. Il rilevatore deve essere impostato su un valore inferiore per la tossicità, se applicabile (Rif. 378-3:2017 par. 8.1). Attiva automaticamente un allarme, avvia la ventilazione meccanica e arresta il sistema quando si attiva.</t>
  </si>
  <si>
    <t>T10</t>
  </si>
  <si>
    <t>T30</t>
  </si>
  <si>
    <t>T60</t>
  </si>
  <si>
    <t>T70</t>
  </si>
  <si>
    <t>T115</t>
  </si>
  <si>
    <t>T140</t>
  </si>
  <si>
    <t>T250DC</t>
  </si>
  <si>
    <t>T350DC</t>
  </si>
  <si>
    <t>T350MBDC</t>
  </si>
  <si>
    <t>T10A</t>
  </si>
  <si>
    <t>T30A</t>
  </si>
  <si>
    <t>T60A</t>
  </si>
  <si>
    <t>T115A</t>
  </si>
  <si>
    <t>T250A</t>
  </si>
  <si>
    <t>Peso</t>
  </si>
  <si>
    <t>Attacchi</t>
  </si>
  <si>
    <t>DIMENSIONI E PESI UNITA ESTERNA</t>
  </si>
  <si>
    <t>[kg]</t>
  </si>
  <si>
    <t>G 1"</t>
  </si>
  <si>
    <t>G 1" 1/2</t>
  </si>
  <si>
    <t>G 2"</t>
  </si>
  <si>
    <t xml:space="preserve">G 2" </t>
  </si>
  <si>
    <t>DN40</t>
  </si>
  <si>
    <t>DN50</t>
  </si>
  <si>
    <t xml:space="preserve">Weight </t>
  </si>
  <si>
    <t>Connections</t>
  </si>
  <si>
    <t>DIMENSIONS AND WEIGHTS - EXTERNAL UNIT</t>
  </si>
  <si>
    <t>DRYCOOLER</t>
  </si>
  <si>
    <t xml:space="preserve">Livello di pressione sonora 10 m </t>
  </si>
  <si>
    <t>dB (A)</t>
  </si>
  <si>
    <t>Livello di potenza sonora</t>
  </si>
  <si>
    <t xml:space="preserve">Livello di pressione sonora 1 m </t>
  </si>
  <si>
    <t xml:space="preserve">Livello di pressione sonora 5 m </t>
  </si>
  <si>
    <t xml:space="preserve">Sound pressure level 1 m </t>
  </si>
  <si>
    <t xml:space="preserve">Sound pressure level 5 m </t>
  </si>
  <si>
    <t xml:space="preserve">Sound pressure level 10 m </t>
  </si>
  <si>
    <t>Sound power level</t>
  </si>
  <si>
    <t xml:space="preserve">Z1 </t>
  </si>
  <si>
    <t xml:space="preserve">Z2 </t>
  </si>
  <si>
    <t xml:space="preserve">Z3 </t>
  </si>
  <si>
    <t xml:space="preserve">Z4* </t>
  </si>
  <si>
    <t xml:space="preserve">Z5 </t>
  </si>
  <si>
    <t>DISTANZE DI RISPETTO - UNITA PRINCIPALE</t>
  </si>
  <si>
    <t>DISTANCES OF RESPECT -  MAIN UNIT</t>
  </si>
  <si>
    <t>DISTANZE DI RISPETTO - UNITA ESTERNA</t>
  </si>
  <si>
    <t>DISTANCES OF RESPECT -  EXTERNAL UNIT</t>
  </si>
  <si>
    <t>L’unità esterna va installata rispettando gli spazi tecnici di rispetto, necessari a garantire l’accessibilità alle connessioni idrauliche ed elettriche, l’eventuale manutenibilità dei componenti meccanici o elettrici e soprattutto l’aspirazione/espulsione dell’aria di scambio. Nella seguente tabella sono presenti le distanze di rispetto per la macchina selezionata:</t>
  </si>
  <si>
    <t>EL1</t>
  </si>
  <si>
    <t>T70T140</t>
  </si>
  <si>
    <t>Controllare il valore della tensione e della frequenza di rete che deve rientrare entro il limite di 400-3-50 ± 6%. Controllare lo sbilanciamento delle fasi: deve essere inferiore al 2%.</t>
  </si>
  <si>
    <t>The installation of the machine must be carried out by the installation technician qualified by law of the state in which it is installed.</t>
  </si>
  <si>
    <t>After having ascertained their suitability (capacity and state of wear), pass the shackles for the lifting straps through the appropriate holes in the lifting supports. For handling it is also possible to use the forklift or the transpallet taking care not to hit the anti-vibration mounts and / or disassemble the latter before carrying out the handling. Lift the unit a few centimeters and, only after verifying the stability of the load, move the unit carefully to the place of installation. During lifting and handling, check that the unit always remains horizontal. Lower the machine carefully so that it rests on the iron supports (the latter are equipped with rubber feet). During handling, take care not to interpose parts of the body in order to avoid the risk of any crushing or impact resulting from falls or sudden and accidental movements of the load.</t>
  </si>
  <si>
    <t>Before installing the machine, check the permissible noise limits in the place where it will operate.</t>
  </si>
  <si>
    <t>The machine must be positioned respecting the minimum recommended technical spaces, bearing in mind the accessibility to water and electrical connections.</t>
  </si>
  <si>
    <t>The positioning or incorrect installation of the machine can cause an amplification of the noise or vibrations generated during its operation.</t>
  </si>
  <si>
    <t>5.1_Pericolo_Generico_ENG.png</t>
  </si>
  <si>
    <t xml:space="preserve">When selecting the installation site, the following requirements must be taken into consideration:
-   The place of installation must comply with what is indicated in the EN 378-1 standard and following the requirements of the EN 378-3 standard.
-   The place of installation must take into consideration the risks caused by an accidental leakage of the fluids contained in the machine (coolant, oil and antifreeze). prevent any leaks of fluids from dispersing inside buildings and thus endangering people's health (Ref. standards EN 378-1 and EN 378-3).
-   If the machine or one of its units is installed on terraces or in any case on the roofs of buildings, adequate measures must be taken to ensure that any leaks of fluids cannot disperse through ventilation systems, doors or similar openings (Ref. Standards EN 378-1 and EN 378-3).
-   The support surface must be accurately level and able to support its weight; the unit can also be installed on brackets or shelves as long as they support its weight.  
-   The minimum recommended technical clearances indicated below must be observed.  </t>
  </si>
  <si>
    <r>
      <t>The machine is designed to be installed outdoors but can also be installed inside premises as long as the requirements indicated below are respected; however,</t>
    </r>
    <r>
      <rPr>
        <b/>
        <sz val="11"/>
        <color theme="1"/>
        <rFont val="Calibri"/>
        <family val="2"/>
        <scheme val="minor"/>
      </rPr>
      <t xml:space="preserve"> the installation of the main unit in ATEX areas is prohibited.</t>
    </r>
  </si>
  <si>
    <t>5.1.1.1   General aspects</t>
  </si>
  <si>
    <t>When the refrigerant concentration can exceed the practical limit according to EN378-1: 2016, annex C (equal to 0.008 kg / m3 for R290 and 0.011 kg / m3 for R600a), the detectors must be present and must at least activate an alarm and, in the case of the engine room, must also activate the mechanical emergency ventilation. The detectors must comply with the following requirements.
Although prescribed by the standard only for type A2L refrigerants, it is appropriate that also for A3, the default value for the refrigerant detector at 30°C or 0°C, whichever is more critical, should be set to 25% of the LFL or 50% of the ATEL/ODL (Ref. EN378-1:2016 Annex E).</t>
  </si>
  <si>
    <t>The position of the detectors must be chosen in relation to use and must be positioned where the refrigerant will concentrate following a leak.</t>
  </si>
  <si>
    <t>The positioning of the detector must be done with due regard to local air flow patterns, based on the sources of ventilation and location slots. The possibility of mechanical or concentration damage should also be taken into account.</t>
  </si>
  <si>
    <t xml:space="preserve">the detector must be installed in the lowest point of the room where the heat pump is installed (engine rooms, occupied spaces underground places). </t>
  </si>
  <si>
    <t>The installation of certified deaerators on both the evaporator and condenser side circuits is mandatory. For installations in closed rooms of any type, it is also necessary to connect the deaerators vent to the external environment with a suitably sealed pipe to allow gas to escape. For more details on installation refer to the dedicated paragraphs §7.1, §7.2, §7.3.</t>
  </si>
  <si>
    <t>A suitable detector may be used to provide an electrical signal at the pre-set refrigerant concentration (the pre-set value) that activates the shut-off valves, the alarm system, mechanical ventilation or other emergency controls.
The detectors must be continuously monitored to ensure their correct functioning. In case of failure of the detector, the emergency sequence should be activated as if the coolant had been detected.
The default value for the refrigerant detector at 30 o'clock C or 0 o'clock C, whichever is more critical, shall be set to 25% of the LFL or 50% of the ATEL/ODL (Ref. EN378-1:2016 Annex E).</t>
  </si>
  <si>
    <t>To ensure that the output signal is activated at the value less than or equal to the preset value, the sensitivity tolerance of the detector must be taken into account. The detector tolerance will take into account +/- 10% of the line voltage tolerance.
An appropriate maintenance period must be established for each type of detector used.
The detector response time should be 30 s or less at a concentration of 1.6 times the preset value.</t>
  </si>
  <si>
    <t>Note 1: Sensors may be affected by the presence of gas or vapor other than refrigerant. Make sure that the use of sensors does not compromise the safety or integrity of the system.</t>
  </si>
  <si>
    <t>Note 2: EN 60079-29-2 specifies the requirements for the selection of detectors to be adopted.</t>
  </si>
  <si>
    <r>
      <t>5.1.1.2</t>
    </r>
    <r>
      <rPr>
        <b/>
        <i/>
        <sz val="7"/>
        <color theme="1"/>
        <rFont val="Times New Roman"/>
        <family val="1"/>
      </rPr>
      <t xml:space="preserve">  </t>
    </r>
    <r>
      <rPr>
        <b/>
        <i/>
        <sz val="7"/>
        <color rgb="FF2F75B5"/>
        <rFont val="Times New Roman"/>
        <family val="1"/>
      </rPr>
      <t xml:space="preserve"> </t>
    </r>
    <r>
      <rPr>
        <b/>
        <i/>
        <sz val="11"/>
        <color rgb="FF2F75B5"/>
        <rFont val="Calibri"/>
        <family val="2"/>
        <scheme val="minor"/>
      </rPr>
      <t>Location of detectors</t>
    </r>
  </si>
  <si>
    <r>
      <t>5.1.1.3</t>
    </r>
    <r>
      <rPr>
        <b/>
        <i/>
        <sz val="7"/>
        <color theme="1"/>
        <rFont val="Times New Roman"/>
        <family val="1"/>
      </rPr>
      <t xml:space="preserve"> </t>
    </r>
    <r>
      <rPr>
        <b/>
        <i/>
        <sz val="7"/>
        <color rgb="FF2F75B5"/>
        <rFont val="Times New Roman"/>
        <family val="1"/>
      </rPr>
      <t xml:space="preserve">   </t>
    </r>
    <r>
      <rPr>
        <b/>
        <i/>
        <sz val="11"/>
        <color rgb="FF2F75B5"/>
        <rFont val="Calibri"/>
        <family val="2"/>
        <scheme val="minor"/>
      </rPr>
      <t>Deaerators</t>
    </r>
  </si>
  <si>
    <t>5.1.1.4   Type and performance of detectors</t>
  </si>
  <si>
    <r>
      <t xml:space="preserve">The power supply of </t>
    </r>
    <r>
      <rPr>
        <b/>
        <sz val="11"/>
        <color rgb="FF000000"/>
        <rFont val="Calibri"/>
        <family val="2"/>
      </rPr>
      <t>T</t>
    </r>
    <r>
      <rPr>
        <sz val="11"/>
        <color rgb="FF000000"/>
        <rFont val="Calibri"/>
        <family val="2"/>
      </rPr>
      <t xml:space="preserve"> must be electrically arranged in such a way that it can be interrupted independently from the electricity to other electrical equipment in general and, in particular, to any lighting system, ventilation unit, alarm and other safety equipment. The connection of the main power supply of </t>
    </r>
    <r>
      <rPr>
        <b/>
        <sz val="11"/>
        <color rgb="FF00B0F0"/>
        <rFont val="Calibri"/>
        <family val="2"/>
      </rPr>
      <t>T</t>
    </r>
    <r>
      <rPr>
        <sz val="11"/>
        <color rgb="FF000000"/>
        <rFont val="Calibri"/>
        <family val="2"/>
      </rPr>
      <t xml:space="preserve"> must comply with EN 60204-1: 2006, Chap. 4 and 5.</t>
    </r>
  </si>
  <si>
    <t>If alarms are used to warn of a leak in the engine room or occupied space, the alarm shall warn of a refrigerant leak in accordance with EN378-3: 2020 par. 8.3. The alarm must be activated by the signal coming from the detector according to EN 378-3: 2020, chap. 9. The alarm must also alert an authorized person to take appropriate action.</t>
  </si>
  <si>
    <r>
      <t xml:space="preserve">The general electrical installation inside </t>
    </r>
    <r>
      <rPr>
        <b/>
        <sz val="11"/>
        <color rgb="FF00B0F0"/>
        <rFont val="Calibri"/>
        <family val="2"/>
      </rPr>
      <t>T</t>
    </r>
    <r>
      <rPr>
        <sz val="11"/>
        <color rgb="FF000000"/>
        <rFont val="Calibri"/>
        <family val="2"/>
      </rPr>
      <t xml:space="preserve">, relating to the lighting of the room, the power supply of </t>
    </r>
    <r>
      <rPr>
        <b/>
        <sz val="11"/>
        <color rgb="FF00B0F0"/>
        <rFont val="Calibri"/>
        <family val="2"/>
      </rPr>
      <t>T</t>
    </r>
    <r>
      <rPr>
        <sz val="11"/>
        <color rgb="FF000000"/>
        <rFont val="Calibri"/>
        <family val="2"/>
      </rPr>
      <t xml:space="preserve"> or other equipment inside the room, etc., must comply with national regulations and the provisions of the IEC 60364 series.
NOTE: Further guidance can be found in IEC / TR 61200-52.</t>
    </r>
  </si>
  <si>
    <t>In cases where an alarm system is installed, the power source of the alarm system must come from a power source independent of mechanical ventilation or other refrigeration systems protected by the alarm system.
NOTE The alarm system can be powered by buffer batteries.</t>
  </si>
  <si>
    <t>The alarm system must ensure both audibility and visibility, for example a buzzer with a sound power of 15 dB (A) above the background level and a flashing lamp.
For an engine room the alarm system must alert both inside and outside the engine room. The alarm outside the engine room can be installed in a supervised place.
For an occupied space (see below) the alarm system must warn at least within the occupied space.
For access category "a" (see EN378-1: 2016 see below) the alarm system must also alert in a supervised place such as the night porter's seat as well as the occupied space.</t>
  </si>
  <si>
    <t>5.1.3.3    Warning of the alarm system</t>
  </si>
  <si>
    <r>
      <t>5.1.2.1</t>
    </r>
    <r>
      <rPr>
        <b/>
        <i/>
        <sz val="7"/>
        <color rgb="FF2F75B5"/>
        <rFont val="Times New Roman"/>
        <family val="1"/>
      </rPr>
      <t xml:space="preserve">        </t>
    </r>
    <r>
      <rPr>
        <b/>
        <i/>
        <sz val="11"/>
        <color rgb="FF2F75B5"/>
        <rFont val="Calibri"/>
        <family val="2"/>
        <scheme val="minor"/>
      </rPr>
      <t>General requirements</t>
    </r>
  </si>
  <si>
    <r>
      <t>5.1.2.2</t>
    </r>
    <r>
      <rPr>
        <b/>
        <i/>
        <sz val="7"/>
        <color rgb="FF2F75B5"/>
        <rFont val="Times New Roman"/>
        <family val="1"/>
      </rPr>
      <t xml:space="preserve">       </t>
    </r>
    <r>
      <rPr>
        <b/>
        <i/>
        <sz val="11"/>
        <color rgb="FF2F75B5"/>
        <rFont val="Calibri"/>
        <family val="2"/>
        <scheme val="minor"/>
      </rPr>
      <t>General power system</t>
    </r>
  </si>
  <si>
    <r>
      <t>5.1.3.1</t>
    </r>
    <r>
      <rPr>
        <b/>
        <i/>
        <sz val="7"/>
        <color rgb="FF2F75B5"/>
        <rFont val="Times New Roman"/>
        <family val="1"/>
      </rPr>
      <t xml:space="preserve">        </t>
    </r>
    <r>
      <rPr>
        <b/>
        <i/>
        <sz val="11"/>
        <color rgb="FF2F75B5"/>
        <rFont val="Calibri"/>
        <family val="2"/>
        <scheme val="minor"/>
      </rPr>
      <t>General aspects</t>
    </r>
  </si>
  <si>
    <r>
      <t>5.1.3.2</t>
    </r>
    <r>
      <rPr>
        <b/>
        <i/>
        <sz val="7"/>
        <color rgb="FF2F75B5"/>
        <rFont val="Times New Roman"/>
        <family val="1"/>
      </rPr>
      <t xml:space="preserve">      </t>
    </r>
    <r>
      <rPr>
        <b/>
        <i/>
        <sz val="11"/>
        <color rgb="FF2F75B5"/>
        <rFont val="Calibri"/>
        <family val="2"/>
        <scheme val="minor"/>
      </rPr>
      <t>Power supply of the alarm system</t>
    </r>
  </si>
  <si>
    <t>In the case of outdoor installation, access is allowed only to authorized persons and must be made aware of the general safety precautions.
In order to prevent access to unauthorized persons, it is suggested to fence off the machine (a chain around the unit is also sufficient) and to affix a sign indicating: "Entry forbidden to unauthorized persons".
Furthermore, it is necessary to comply with the requirements for all refrigeration systems in general (Ref. EN 378-3: 2016 - par. 4.2) and indicated below.
“Refrigeration systems located outdoors must be positioned in such a way as to prevent escaping refrigerant from flowing into a building or endangering people and property. In the event of a leak, the refrigerant must not be able to flow into any fresh air inlets of the ventilation systems, hatch or similar opening. Where a shelter against bad weather is provided for refrigeration equipment, even if outdoors, it must have sufficient natural or forced ventilation.
Installation in a room where at least one of the longest walls is open to the outside air by means of slits with a free area of 75% and covering at least 80% of the surface of the wall (or equivalent if more than one wall is towards the outside).
For refrigeration systems installed outdoors in a place where a release of refrigerant can stagnate, e.g. underground outdoor places, the installation must comply with the requirements for gas detection and ventilation of the machinery rooms (see next paragraph).</t>
  </si>
  <si>
    <r>
      <t xml:space="preserve">By engine room we mean an enclosed space or room, equipped with mechanical ventilation, sealed from public areas and not accessible to the public, intended to contain </t>
    </r>
    <r>
      <rPr>
        <b/>
        <sz val="11"/>
        <color rgb="FF15A8DD"/>
        <rFont val="Calibri"/>
        <family val="2"/>
        <scheme val="minor"/>
      </rPr>
      <t>T</t>
    </r>
    <r>
      <rPr>
        <sz val="11"/>
        <color theme="1"/>
        <rFont val="Calibri"/>
        <family val="2"/>
        <scheme val="minor"/>
      </rPr>
      <t>.
Note 1 An engine room may contain other equipment provided that the design and installation requirements are compatible with the safety requirements of the refrigeration system.
When a closed room is chosen for the location of the machine, it must meet the requirements specified below.
In order to determine whether or not it is mandatory to place the machine in a specific refrigeration engine room separate from the other rooms, a risk analysis based on the safety concept for the refrigeration system and taking into account the refrigerant charge (TEON technical office is available for input information requested by the risk analysis specialist).
An engine room is a room large enough for people to enter.</t>
    </r>
  </si>
  <si>
    <r>
      <t xml:space="preserve">If combustion engines, burners or air compressors are located in an engine room containing </t>
    </r>
    <r>
      <rPr>
        <b/>
        <sz val="11"/>
        <color rgb="FF00B0F0"/>
        <rFont val="Calibri"/>
        <family val="2"/>
      </rPr>
      <t>T</t>
    </r>
    <r>
      <rPr>
        <sz val="11"/>
        <color rgb="FF000000"/>
        <rFont val="Calibri"/>
        <family val="2"/>
      </rPr>
      <t>, the combustion air supply for the combustion engines or boilers or the supply air for the air compressors must be taken from the outside in such a way as to prevent refrigerant from entering the intake air.</t>
    </r>
  </si>
  <si>
    <t>Open (naked) flames must not be allowed in engine rooms, except for welding, brazing or similar activities and only on condition that the refrigerant concentration is monitored and adequate ventilation is ensured. Such open flames should not be left unattended.</t>
  </si>
  <si>
    <t>The machinery spaces must not be used for the storage of materials with the exception of tools, spare parts and compressor oil related to the installed equipment. Any refrigerant or flammable or toxic material must be stored following the indications provided by national legislation.</t>
  </si>
  <si>
    <r>
      <t xml:space="preserve">Outside the room, near the engine room door, a remote switch must be foreseen to stop </t>
    </r>
    <r>
      <rPr>
        <b/>
        <sz val="11"/>
        <color rgb="FF00B0F0"/>
        <rFont val="Calibri"/>
        <family val="2"/>
      </rPr>
      <t>T</t>
    </r>
    <r>
      <rPr>
        <sz val="11"/>
        <color rgb="FF000000"/>
        <rFont val="Calibri"/>
        <family val="2"/>
      </rPr>
      <t xml:space="preserve"> in an emergency. A switch with similar action must also be placed in a suitable position inside the room. Both switches must meet the requirements for emergency switches according to EN ISO 13850 and EN 60204-1.</t>
    </r>
  </si>
  <si>
    <t>External openings shall be located more than 2 m from the emergency stairs of the building or other openings of the building, e.g. windows, doors, ventilation holes.</t>
  </si>
  <si>
    <t>Engine rooms cannot be used as spaces occupied by unauthorized persons. The operator must ensure that access is allowed only to the personnel in charge of the instructions who carry out the necessary maintenance to the machine room or to the general plant.
Machine rooms dedicated exclusively to the machine and separated from other technical rooms cannot be used as occupied spaces either.</t>
  </si>
  <si>
    <t>Refrigerant must be prevented from entering nearby spaces, stairways, courtyards, walkways or building drainage systems, and escaping gas must be discharged to the outside.
To prevent refrigerant leaks from contaminating the air flow through an occupied space, there must be no air flow from the occupied spaces in an engine room unless that air flow is ducted and sealed.</t>
  </si>
  <si>
    <t xml:space="preserve">Fixed lighting must be selected and positioned within the room in order to provide adequate lighting for safe operation. The lighting level and position must be those required by national regulations. </t>
  </si>
  <si>
    <t>In the event of a disruption of normal lighting, a fixed or portable emergency lighting system must be in place, adequate to allow the operation of the controls and the evacuation of personnel. The lighting level and position must be those required by national regulations.</t>
  </si>
  <si>
    <t>All pipes and ventilation ducts that pass through walls, ceilings and floors of engine rooms must be sealed where they pass through the ceiling or floors or walls. The seal must have at least the same fire resistance as the walls, ceiling or floor it passes through.
Exhaust pipes from venting devices can diffuse miasma into free air by suitable means but away from any building vents or they must discharge to devices containing adequate amounts of suitable absorbent material.</t>
  </si>
  <si>
    <r>
      <t xml:space="preserve">The dimensions of the engine room must allow for easy installation and sufficient space for servicing, maintenance, operation, repair and disassembly of the refrigeration equipment, including sufficient space for people wearing personal protective equipment.
If necessary, fixed walkways and ladders must be provided to avoid standing or walking on the pipes, fittings, their supports and support structures and components during operation, maintenance, inspection and repair of </t>
    </r>
    <r>
      <rPr>
        <b/>
        <sz val="11"/>
        <color rgb="FF15A8DD"/>
        <rFont val="Calibri"/>
        <family val="2"/>
        <scheme val="minor"/>
      </rPr>
      <t>T</t>
    </r>
    <r>
      <rPr>
        <sz val="11"/>
        <color rgb="FF000000"/>
        <rFont val="Calibri"/>
        <family val="2"/>
        <scheme val="minor"/>
      </rPr>
      <t>.
There must be a clear height of at least 2.1m underneath the equipment located on walkways and permanent workstations. The requirements for the preparation of any work sites within the machine room must comply with EN ISO 14122-2.
Note: The clear height is defined starting from 2.1 m above the walking surface.</t>
    </r>
  </si>
  <si>
    <r>
      <t>5.1.5.1</t>
    </r>
    <r>
      <rPr>
        <b/>
        <i/>
        <sz val="7"/>
        <color rgb="FF2F75B5"/>
        <rFont val="Times New Roman"/>
        <family val="1"/>
      </rPr>
      <t xml:space="preserve">        </t>
    </r>
    <r>
      <rPr>
        <b/>
        <i/>
        <sz val="11"/>
        <color rgb="FF2F75B5"/>
        <rFont val="Calibri"/>
        <family val="2"/>
        <scheme val="minor"/>
      </rPr>
      <t>Access to an engine room</t>
    </r>
  </si>
  <si>
    <r>
      <t>5.1.5.2</t>
    </r>
    <r>
      <rPr>
        <b/>
        <i/>
        <sz val="7"/>
        <color rgb="FF2F75B5"/>
        <rFont val="Times New Roman"/>
        <family val="1"/>
      </rPr>
      <t xml:space="preserve">        </t>
    </r>
    <r>
      <rPr>
        <b/>
        <i/>
        <sz val="11"/>
        <color rgb="FF2F75B5"/>
        <rFont val="Calibri"/>
        <family val="2"/>
        <scheme val="minor"/>
      </rPr>
      <t>Vent from/through the engine room</t>
    </r>
  </si>
  <si>
    <r>
      <t>5.1.5.3</t>
    </r>
    <r>
      <rPr>
        <b/>
        <i/>
        <sz val="7"/>
        <color rgb="FF2F75B5"/>
        <rFont val="Times New Roman"/>
        <family val="1"/>
      </rPr>
      <t xml:space="preserve">        </t>
    </r>
    <r>
      <rPr>
        <b/>
        <i/>
        <sz val="11"/>
        <color rgb="FF2F75B5"/>
        <rFont val="Calibri"/>
        <family val="2"/>
        <scheme val="minor"/>
      </rPr>
      <t>Burners and compressed air</t>
    </r>
  </si>
  <si>
    <r>
      <t>5.1.5.4</t>
    </r>
    <r>
      <rPr>
        <b/>
        <i/>
        <sz val="7"/>
        <color rgb="FF2F75B5"/>
        <rFont val="Times New Roman"/>
        <family val="1"/>
      </rPr>
      <t xml:space="preserve">        </t>
    </r>
    <r>
      <rPr>
        <b/>
        <i/>
        <sz val="11"/>
        <color rgb="FF2F75B5"/>
        <rFont val="Calibri"/>
        <family val="2"/>
        <scheme val="minor"/>
      </rPr>
      <t>Free flame</t>
    </r>
  </si>
  <si>
    <r>
      <t>5.1.5.5</t>
    </r>
    <r>
      <rPr>
        <b/>
        <i/>
        <sz val="7"/>
        <color rgb="FF2F75B5"/>
        <rFont val="Times New Roman"/>
        <family val="1"/>
      </rPr>
      <t xml:space="preserve">        </t>
    </r>
    <r>
      <rPr>
        <b/>
        <i/>
        <sz val="11"/>
        <color rgb="FF2F75B5"/>
        <rFont val="Calibri"/>
        <family val="2"/>
        <scheme val="minor"/>
      </rPr>
      <t>Storage</t>
    </r>
  </si>
  <si>
    <r>
      <t>5.1.5.6</t>
    </r>
    <r>
      <rPr>
        <b/>
        <i/>
        <sz val="7"/>
        <color rgb="FF2F75B5"/>
        <rFont val="Times New Roman"/>
        <family val="1"/>
      </rPr>
      <t xml:space="preserve">        </t>
    </r>
    <r>
      <rPr>
        <b/>
        <i/>
        <sz val="11"/>
        <color rgb="FF2F75B5"/>
        <rFont val="Calibri"/>
        <family val="2"/>
        <scheme val="minor"/>
      </rPr>
      <t>Remote emergency switch</t>
    </r>
  </si>
  <si>
    <r>
      <t>5.1.5.7</t>
    </r>
    <r>
      <rPr>
        <b/>
        <i/>
        <sz val="7"/>
        <color rgb="FF2F75B5"/>
        <rFont val="Times New Roman"/>
        <family val="1"/>
      </rPr>
      <t xml:space="preserve">        </t>
    </r>
    <r>
      <rPr>
        <b/>
        <i/>
        <sz val="11"/>
        <color rgb="FF2F75B5"/>
        <rFont val="Calibri"/>
        <family val="2"/>
        <scheme val="minor"/>
      </rPr>
      <t>Openings outside the engine room</t>
    </r>
  </si>
  <si>
    <r>
      <t xml:space="preserve">5.1.5.8 </t>
    </r>
    <r>
      <rPr>
        <b/>
        <i/>
        <sz val="7"/>
        <color rgb="FF2F75B5"/>
        <rFont val="Times New Roman"/>
        <family val="1"/>
      </rPr>
      <t xml:space="preserve">     </t>
    </r>
    <r>
      <rPr>
        <b/>
        <i/>
        <sz val="11"/>
        <color rgb="FF2F75B5"/>
        <rFont val="Calibri"/>
        <family val="2"/>
        <scheme val="minor"/>
      </rPr>
      <t>Pipes and channels</t>
    </r>
  </si>
  <si>
    <r>
      <t>5.1.5.9</t>
    </r>
    <r>
      <rPr>
        <b/>
        <i/>
        <sz val="7"/>
        <color rgb="FF2F75B5"/>
        <rFont val="Times New Roman"/>
        <family val="1"/>
      </rPr>
      <t xml:space="preserve">      </t>
    </r>
    <r>
      <rPr>
        <b/>
        <i/>
        <sz val="11"/>
        <color rgb="FF2F75B5"/>
        <rFont val="Calibri"/>
        <family val="2"/>
        <scheme val="minor"/>
      </rPr>
      <t>Normal lighting</t>
    </r>
  </si>
  <si>
    <r>
      <t>5.1.5.10</t>
    </r>
    <r>
      <rPr>
        <b/>
        <i/>
        <sz val="7"/>
        <color rgb="FF2F75B5"/>
        <rFont val="Times New Roman"/>
        <family val="1"/>
      </rPr>
      <t xml:space="preserve">        </t>
    </r>
    <r>
      <rPr>
        <b/>
        <i/>
        <sz val="11"/>
        <color rgb="FF2F75B5"/>
        <rFont val="Calibri"/>
        <family val="2"/>
        <scheme val="minor"/>
      </rPr>
      <t>Emergency lighting</t>
    </r>
  </si>
  <si>
    <r>
      <t>5.1.5.11</t>
    </r>
    <r>
      <rPr>
        <b/>
        <i/>
        <sz val="7"/>
        <color rgb="FF2F75B5"/>
        <rFont val="Times New Roman"/>
        <family val="1"/>
      </rPr>
      <t xml:space="preserve">        </t>
    </r>
    <r>
      <rPr>
        <b/>
        <i/>
        <sz val="11"/>
        <color rgb="FF2F75B5"/>
        <rFont val="Calibri"/>
        <family val="2"/>
        <scheme val="minor"/>
      </rPr>
      <t>Dimensions and accessibility</t>
    </r>
  </si>
  <si>
    <t>Doors and openings</t>
  </si>
  <si>
    <t>Engine rooms must have doors that open outwards and in sufficient numbers to ensure that people can escape in an emergency.</t>
  </si>
  <si>
    <t>Doors must be airtight and self-closing. They must be designed so that they can be opened from the inside (anti-panic system). The doors must have a fire resistant structure of at least one hour, using materials and construction tested in accordance with EN 1634. There must be no openings that allow the involuntary passage of refrigerant, vapors, odors and all other gases into any occupied space.</t>
  </si>
  <si>
    <t>Emergency</t>
  </si>
  <si>
    <t>In the event of an emergency, precise instructions must be adopted to facilitate immediate exit from the engine room.</t>
  </si>
  <si>
    <t>At least one emergency exit must open directly to fresh air and must lead to an emergency exit passage.</t>
  </si>
  <si>
    <t>Walls, floors and ceilings</t>
  </si>
  <si>
    <t>The walls, floor and ceiling between the engine room and the rest of the building must have a fire resistant structure at least REI 60 and be well sealed. They must be made with materials and construction that comply with EN 1363, EN 1364 and EN 1365.</t>
  </si>
  <si>
    <t>Note: Requirements for the fire resistant construction of walls, doors, floor and ceiling may also be required by local regulations.</t>
  </si>
  <si>
    <t>Service passages</t>
  </si>
  <si>
    <t>The service passages must comply with the requirements of EN 1366-1 and EN 1366-2 and must be sealed to minimize refrigerant losses in the service passages; they must also have at least the same fire resistance as the walls and doors.</t>
  </si>
  <si>
    <t>Service passages, including walkways and crawl spaces, containing refrigerant vent piping must be vented to a safe location to prevent dangerous refrigerant build-up in the event of a leak. Service passages should not be used for ventilation or air conditioning.</t>
  </si>
  <si>
    <t>Ventilation ducts</t>
  </si>
  <si>
    <t>The sheet metal for normal and emergency ventilation ducts must comply with EN 1507 and bracketed as required by EN 12236. After assembly, all joints in the duct must be sealed to minimize gas leaks from the duct. The ventilation duct must have at least the same fire resistance as the doors and walls of the engine room.</t>
  </si>
  <si>
    <t>General aspects</t>
  </si>
  <si>
    <t>Ventilation of machinery spaces must be sufficient for both normal operating conditions and emergencies.</t>
  </si>
  <si>
    <t>Ventilation for normal opening conditions or when the engine room is occupied</t>
  </si>
  <si>
    <t>If the engine room can be occupied by unauthorized personnel, the ventilation must comply with national regulations and in any case guarantee a minimum of 4 changes / hour. In the event that it is not possible to achieve the necessary ventilation flow, an acoustic and / or visual alarm system must be provided and, if necessary, it must be possible to interrupt the power supply.</t>
  </si>
  <si>
    <t>Mechanical emergency ventilation</t>
  </si>
  <si>
    <t>If gas detection is required in the engine room, the emergency mechanical ventilation system must be activated by one or more detectors, located in the engine room. The detectors must conform to be as specified in the next paragraph (Ref. EN 378-3: 2016 par. 9).</t>
  </si>
  <si>
    <t>The mechanical emergency ventilation must be equipped with two independent emergency controls, one located outside the engine room and the other inside.</t>
  </si>
  <si>
    <t>If refrigerant escapes due to component leaks, the air from the engine rooms must be vented to the outside by mechanical ventilation. This ventilation system must be independent of any other ventilation systems on site.
A sufficient supply of external exchange air and good distribution of this air must be ensured in the engine room, avoiding dead zones.
The openings for outdoor air must be positioned in such a way as to avoid recirculation in the room.</t>
  </si>
  <si>
    <t>Air flow required for emergency mechanical ventilation</t>
  </si>
  <si>
    <t>The air flow rate of mechanical ventilation must be at least equal to that obtained from the following formula:</t>
  </si>
  <si>
    <t>Openings for mechanical ventilation</t>
  </si>
  <si>
    <t>The mechanical ventilation openings must be positioned and sized to allow sufficient air flow, taking into account the characteristics of the refrigerant, the choice of intake or exhaust and the performance of the fan. The inlet and outlet openings must be prepared to evacuate the refrigerant in all refrigerant leaking conditions.</t>
  </si>
  <si>
    <r>
      <t>5.1.5.12    </t>
    </r>
    <r>
      <rPr>
        <b/>
        <i/>
        <sz val="7"/>
        <color rgb="FF2F75B5"/>
        <rFont val="Times New Roman"/>
        <family val="1"/>
      </rPr>
      <t xml:space="preserve">  </t>
    </r>
    <r>
      <rPr>
        <b/>
        <i/>
        <sz val="11"/>
        <color rgb="FF2F75B5"/>
        <rFont val="Calibri"/>
        <family val="2"/>
        <scheme val="minor"/>
      </rPr>
      <t>Doors, walls and ducts</t>
    </r>
  </si>
  <si>
    <r>
      <t xml:space="preserve">5.1.5.13        </t>
    </r>
    <r>
      <rPr>
        <b/>
        <i/>
        <sz val="10"/>
        <color rgb="FF2F75B5"/>
        <rFont val="Calibri"/>
        <family val="2"/>
        <scheme val="minor"/>
      </rPr>
      <t xml:space="preserve"> Ventilation</t>
    </r>
  </si>
  <si>
    <t>This is the space in a building that is bounded by walls, floors and ceilings and which is occupied by people for a significant period.
Note: Where spaces around the apparent occupied space are not by construction or design to be airtight with respect to the occupied space, these can be considered part of the occupied space above; for instance. empty false ceilings, crawl spaces, ducts, movable walls and doors with transit grilles or undercut doors.</t>
  </si>
  <si>
    <t>Human comfort is defined as a mental condition, which expresses satisfaction with the surrounding environment. Unsatisfactory human comfort conditions provide feelings of discomfort and sometimes stress, that is, they reduce the human body's ability to adapt to the abnormal physical condition in which the lived environment is found.
The main parameters that are considered to characterize the conditions of human comfort are the following (the list is not exhaustive):</t>
  </si>
  <si>
    <t xml:space="preserve">Occupations are classified with respect to the safety of people, who can be directly affected in the event of abnormal operation of the refrigeration system. Safety considerations in refrigeration systems take into account the site, the number of people occupying the site and the categories of access.
Engine rooms (Ref. EN 378-1: 2016 par. 3.2.1 and 3.2.2) (see note below) must not be considered occupied spaces except as defined in EN378-3: 2016, 5.1. The access categories are defined in the table below.
</t>
  </si>
  <si>
    <t xml:space="preserve">Note: This list is not exhaustive. </t>
  </si>
  <si>
    <t>5.1.6_Tabella_categorie_accesso_ENG.png</t>
  </si>
  <si>
    <t>Occupations can also be classified according to national regulations</t>
  </si>
  <si>
    <t>5.1.6_Tabella_classe1_attrezzature_spazio_occupato_ENG.png</t>
  </si>
  <si>
    <r>
      <t xml:space="preserve">La tabella che segue è stata realizzata sulla base di quanto indicato al par. C.1 e nella tabella C.2 riportati in allegato C della norma EN 378-1:2016 e riassumono le cariche massime di refrigerante ammesse in base a:
a)   Categoria di accesso al luogo di installazione (Rif. EN 378-1:2016 par. 5.3)
b)   Classe di occupazione del luogo di installazione (Rif. EN378-1:2016 par. 5.1.1 tabella 4)
c)    Tipologia del luogo di installazione:
</t>
    </r>
    <r>
      <rPr>
        <sz val="11"/>
        <color rgb="FF2F75B5"/>
        <rFont val="Calibri"/>
        <family val="2"/>
        <scheme val="minor"/>
      </rPr>
      <t xml:space="preserve">     </t>
    </r>
    <r>
      <rPr>
        <sz val="11"/>
        <color rgb="FF000000"/>
        <rFont val="Calibri"/>
        <family val="2"/>
        <scheme val="minor"/>
      </rPr>
      <t xml:space="preserve">   -   confort umano (per luogo di confort si intende un locale di relax, di spettacolo, un locale climatizzato, …)
        -   Luogo
        -   Luogo fuori terra
d)   Tipologia del refrigerante utilizzato: nel nostro caso R290 e R600a (Rif. EN 378-1:2016 allegato E)
e)   Il gruppo di appartenenza (tossicità/esplosività) del refrigerante. </t>
    </r>
  </si>
  <si>
    <t xml:space="preserve">The following table was created on the basis of what is indicated in par. C.1 and in table C.2 reported in Annex C of the EN 378-1: 2016 standard and summarize the maximum refrigerant charges allowed on the basis of:
a)	Category of access to the place of installation (Ref. EN 378-1: 2016 par. 5.3)
b)	Occupancy class of the place of installation (Ref. EN378-1: 2016 par. 5.1.1 table 4)
c)	Type of installation site:
         -    human comfort (a place of comfort means a room for relaxation, entertainment, an air-conditioned room, ...)
         -    Place
         -    Place above ground
d)	Type of refrigerant used: in our case R290 and R600a (Ref. EN 378-1: 2016 annex E)
e)	The group to which the refrigerant belongs (toxicity / explosiveness). </t>
  </si>
  <si>
    <t>5.1.6.3   Access categories for refrigeration systems (Ref. EN 378-1: 2016 - par. 5.1)</t>
  </si>
  <si>
    <t>5.1.6.4   Rules to be observed for installation in occupied spaces</t>
  </si>
  <si>
    <r>
      <t>5.1.6.1</t>
    </r>
    <r>
      <rPr>
        <b/>
        <i/>
        <sz val="7"/>
        <color rgb="FF2F75B5"/>
        <rFont val="Times New Roman"/>
        <family val="1"/>
      </rPr>
      <t xml:space="preserve">        </t>
    </r>
    <r>
      <rPr>
        <b/>
        <i/>
        <sz val="11"/>
        <color rgb="FF2F75B5"/>
        <rFont val="Calibri"/>
        <family val="2"/>
        <scheme val="minor"/>
      </rPr>
      <t>Definition of occupied space (Ref. EN 378-1:2016 - par. 3.2.3)</t>
    </r>
  </si>
  <si>
    <r>
      <t>5.1.6.2</t>
    </r>
    <r>
      <rPr>
        <b/>
        <i/>
        <sz val="7"/>
        <color rgb="FF2F75B5"/>
        <rFont val="Times New Roman"/>
        <family val="1"/>
      </rPr>
      <t xml:space="preserve">        </t>
    </r>
    <r>
      <rPr>
        <b/>
        <i/>
        <sz val="11"/>
        <color rgb="FF2F75B5"/>
        <rFont val="Calibri"/>
        <family val="2"/>
        <scheme val="minor"/>
      </rPr>
      <t>Definition of a place of human comfort</t>
    </r>
  </si>
  <si>
    <t>5.1.6_Tabella_classe1_attrezzature_luoghi_chiusi_ventilati_ENG.png</t>
  </si>
  <si>
    <t xml:space="preserve">The following table was created on the basis of what is indicated in par. C.1 and in table C.2 reported in Annex C of the EN 378-1: 2016 standard and summarize the maximum refrigerant charges allowed on the basis of:
a)	Category of access to the place of installation (Ref. EN 378-1: 2016 par. 5.3)
b)	Occupancy class of the place of installation (Ref. EN378-1: 2016 par. 5.1.1 table 4)
c)	Type of installation site:
         -    human comfort (a place of comfort means a room for relaxation, entertainment, an air-conditioned room, ...)
         -    Underground Place
         -    Place above ground
d)	Type of refrigerant used: in our case R290 and R600a (Ref. EN 378-1: 2016 annex E)
e)	The group to which the refrigerant belongs (toxicity / explosiveness). </t>
  </si>
  <si>
    <t>TEON machines comply with the EN 60335 series (Safety of household and similar electrical appliances); in particular, in order not to cause a risk of fire or explosion, our machines are built in such a way that the refrigerant that escapes does not flow or stagnate in the areas inside the machine where components and equipment are mounted that could be a source of ignition and which could generate leaks when operating under normal conditions.
The temperature of the surfaces that may be exposed to refrigerant leaks must not exceed the self-ignition temperature of the refrigerant equal to 370 ° C (Ref. EN378-1: 2016, annex E).
Disconnecting and connecting electrical plugs to sockets is not considered normal operation. Where there is a plug and socket, they are to be considered part of the equipment. Disconnecting or connecting the plug from / to the power outlet is considered part of normal operation unless the use of a special tool is required.
The doors of the switchboards and the other movable panels in the machine can only be opened during installation, start-up and maintenance operations.
If it is necessary to install the machine in ATEX 0 or ATEX 1 zones, it must be requested before the order in order to build it customerized in compliance with the essential safety requirements of Directive 94/9 / EC March 1994 (approximation of the laws of the member states relating to equipment and protective systems intended for use in potentially explosive atmospheres).</t>
  </si>
  <si>
    <t>The detector shall activate an alarm signal at a level not exceeding 25% of the refrigerant LFL (Low Flammable Limit). The detector must continue to activate at higher concentrations. The detector must be set to a lower value for toxicity, if applicable (Ref. 378-3: 2017 para. 8.1). Automatically triggers an alarm, starts mechanical ventilation and stops the system when it activates.</t>
  </si>
  <si>
    <t>The connection of the main power supply to the machinery shall be in accordance with EN 60204-1: 2018.</t>
  </si>
  <si>
    <t>The Atex table is shown below (Ref. CEI EN 60079-10-1: 2016 - ATEX zone classification).</t>
  </si>
  <si>
    <t xml:space="preserve">-   Ambient temperature 		T              ( 18°C &lt; T &lt; 27°C )
-   Relative humidity of the ambient air RH	( 30% &lt; UR &lt; 70% )
-   Movement speed of ambient air V	( ≤ 2 m/s )
-   Noise R            (≤ 40 dB (A))
-   Air quality IAQ: microbial contaminants (fungi, bacteria), suspended particles (fumes, dust), gas (carbon monoxide, radon, compounds organic volatile) and any other element that can create negative conditions on health. The ARPA indicates limit values for any contaminants / particles / gases. </t>
  </si>
  <si>
    <r>
      <t>5.2.2.1</t>
    </r>
    <r>
      <rPr>
        <b/>
        <i/>
        <sz val="7"/>
        <color rgb="FF2F75B5"/>
        <rFont val="Times New Roman"/>
        <family val="1"/>
      </rPr>
      <t xml:space="preserve">        </t>
    </r>
    <r>
      <rPr>
        <b/>
        <i/>
        <sz val="11"/>
        <color rgb="FF2F75B5"/>
        <rFont val="Calibri"/>
        <family val="2"/>
        <scheme val="minor"/>
      </rPr>
      <t>Specific requirements for R290 and R600a</t>
    </r>
  </si>
  <si>
    <r>
      <t>5.2.3.1</t>
    </r>
    <r>
      <rPr>
        <b/>
        <i/>
        <sz val="7"/>
        <color rgb="FF2F75B5"/>
        <rFont val="Times New Roman"/>
        <family val="1"/>
      </rPr>
      <t xml:space="preserve">        </t>
    </r>
    <r>
      <rPr>
        <b/>
        <i/>
        <sz val="11"/>
        <color rgb="FF2F75B5"/>
        <rFont val="Calibri"/>
        <family val="2"/>
        <scheme val="minor"/>
      </rPr>
      <t>Electrical systems in engine rooms with refrigeration systems containing R290 and R600a</t>
    </r>
  </si>
  <si>
    <r>
      <t>5.2.3.2</t>
    </r>
    <r>
      <rPr>
        <b/>
        <i/>
        <sz val="7"/>
        <color rgb="FF2F75B5"/>
        <rFont val="Times New Roman"/>
        <family val="1"/>
      </rPr>
      <t xml:space="preserve">        </t>
    </r>
    <r>
      <rPr>
        <b/>
        <i/>
        <sz val="11"/>
        <color rgb="FF2F75B5"/>
        <rFont val="Calibri"/>
        <family val="2"/>
        <scheme val="minor"/>
      </rPr>
      <t>Additional requirements for the use of R290 and R600a</t>
    </r>
  </si>
  <si>
    <t>5.2.3_Tabella_classificazione_zone_ATEX_ENG.png</t>
  </si>
  <si>
    <t>In order to verify if there are additional risk factors in the engine room, it must be assessed in relation to flammability and classified according to the requirements of the for the hazardous area (Ref. CEI EN 60079-10-1: 2016 - ATEX zone classification) .
This assessment considering the LFL and the type of release can conclude that the hazardous area is of negligible extent.
For electrical installation requirements refer to EN 378-1: 2016 par. 7 (see following paragraphs).</t>
  </si>
  <si>
    <t>Location</t>
  </si>
  <si>
    <t>Exhausted emergency ventilation</t>
  </si>
  <si>
    <t>Maximum surface temperature</t>
  </si>
  <si>
    <t>Hot surfaces (inside the machinery or near it) must not exceed 360 ° C for R600a and 370 ° C for R290.</t>
  </si>
  <si>
    <t xml:space="preserve">Engine rooms where the refrigerant charge is higher than the practical limit for the room volume must have a door that opens directly to the outside air or through a special vestibule equipped with self-closing and sealed doors. </t>
  </si>
  <si>
    <t>The engine room must be located in accordance with local and national regulations.
Note: The requirements may depend on the amount of charge present inside T.</t>
  </si>
  <si>
    <r>
      <t>The room must guarantee the air flow between the space inside the machine and the inside of the room. The manufacturer of the ventilation system must specify the ventilation duct in terms of size and number of bends; furthermore it is necessary to indicate the maximum pressure drop in Pascal [Pa]. The negative pressure measurement inside the machine must be equal to or greater than 20 Pa and the flow rate outside must be at least Q</t>
    </r>
    <r>
      <rPr>
        <vertAlign val="subscript"/>
        <sz val="11"/>
        <color rgb="FF000000"/>
        <rFont val="Calibri"/>
        <family val="2"/>
      </rPr>
      <t>min</t>
    </r>
    <r>
      <rPr>
        <sz val="11"/>
        <color rgb="FF000000"/>
        <rFont val="Calibri"/>
        <family val="2"/>
      </rPr>
      <t xml:space="preserve"> with a minimum ventilation flow rate of 2 m3 / h. The section of the ventilation duct must not be limited by any component. There must be no sources of ignition in the duct.
Q</t>
    </r>
    <r>
      <rPr>
        <vertAlign val="subscript"/>
        <sz val="11"/>
        <color rgb="FF000000"/>
        <rFont val="Calibri"/>
        <family val="2"/>
      </rPr>
      <t>min</t>
    </r>
    <r>
      <rPr>
        <sz val="11"/>
        <color rgb="FF000000"/>
        <rFont val="Calibri"/>
        <family val="2"/>
      </rPr>
      <t xml:space="preserve"> shall be calculated as follows:</t>
    </r>
  </si>
  <si>
    <r>
      <t>where: 
Q</t>
    </r>
    <r>
      <rPr>
        <vertAlign val="subscript"/>
        <sz val="11"/>
        <color theme="1"/>
        <rFont val="Calibri"/>
        <family val="2"/>
        <scheme val="minor"/>
      </rPr>
      <t>min</t>
    </r>
    <r>
      <rPr>
        <sz val="11"/>
        <color theme="1"/>
        <rFont val="Calibri"/>
        <family val="2"/>
        <scheme val="minor"/>
      </rPr>
      <t xml:space="preserve">     is the ventilation flow [m</t>
    </r>
    <r>
      <rPr>
        <vertAlign val="superscript"/>
        <sz val="11"/>
        <color theme="1"/>
        <rFont val="Calibri"/>
        <family val="2"/>
        <scheme val="minor"/>
      </rPr>
      <t>3</t>
    </r>
    <r>
      <rPr>
        <sz val="11"/>
        <color theme="1"/>
        <rFont val="Calibri"/>
        <family val="2"/>
        <scheme val="minor"/>
      </rPr>
      <t>/h]
15            is the 4-minute conversion constant of % loss with respect to a consistent loss [1/h]
s               is the safety factor (equal to 4)
mc           is the refrigerant charge [kg]
ρ              is the density of the refrigerant at atmospheric pressure and 25 ° C [kg / m</t>
    </r>
    <r>
      <rPr>
        <vertAlign val="superscript"/>
        <sz val="11"/>
        <color theme="1"/>
        <rFont val="Calibri"/>
        <family val="2"/>
        <scheme val="minor"/>
      </rPr>
      <t>3</t>
    </r>
    <r>
      <rPr>
        <sz val="11"/>
        <color theme="1"/>
        <rFont val="Calibri"/>
        <family val="2"/>
        <scheme val="minor"/>
      </rPr>
      <t>]</t>
    </r>
  </si>
  <si>
    <t>In case of the machinery is installed in a ventilated room or enclosure, the ventilation system must operate as follows:</t>
  </si>
  <si>
    <r>
      <t>-</t>
    </r>
    <r>
      <rPr>
        <sz val="7"/>
        <color theme="1"/>
        <rFont val="Times New Roman"/>
        <family val="1"/>
      </rPr>
      <t xml:space="preserve">      </t>
    </r>
    <r>
      <rPr>
        <sz val="11"/>
        <color rgb="FF000000"/>
        <rFont val="Calibri"/>
        <family val="2"/>
      </rPr>
      <t xml:space="preserve">it must work continuously, the air flow must be continuously monitored by </t>
    </r>
    <r>
      <rPr>
        <b/>
        <sz val="11"/>
        <color rgb="FF00B0F0"/>
        <rFont val="Calibri"/>
        <family val="2"/>
      </rPr>
      <t>T</t>
    </r>
    <r>
      <rPr>
        <sz val="11"/>
        <color rgb="FF000000"/>
        <rFont val="Calibri"/>
        <family val="2"/>
      </rPr>
      <t xml:space="preserve"> and must be made safe within 10 seconds in the event that the flow is reduced below Qmin. Safety is carried out with the fan turned ON until the leak is repaired.</t>
    </r>
  </si>
  <si>
    <r>
      <t>-</t>
    </r>
    <r>
      <rPr>
        <sz val="7"/>
        <color theme="1"/>
        <rFont val="Times New Roman"/>
        <family val="1"/>
      </rPr>
      <t xml:space="preserve">      </t>
    </r>
    <r>
      <rPr>
        <sz val="11"/>
        <color rgb="FF000000"/>
        <rFont val="Calibri"/>
        <family val="2"/>
      </rPr>
      <t>It must be activated by a gas leak sensor before 25% of the LFL is reached. The sensor must be properly positioned considering the density of the refrigerant. The sensor and the fan must be checked at regular intervals in accordance with the manufacturer's instructions. The anomaly must be reported and the system must be made safe with the fan on until the anomaly is resolved.</t>
    </r>
  </si>
  <si>
    <t>In order to be able to assess compliance with the requirements for the ventilation system, a random or systematic test must be performed.</t>
  </si>
  <si>
    <t>The emergency ventilator must have:
-    the engine out of the airflow, or
-    classified for hazardous areas as required in EN 378-2: 2016, 6.2.14.
The fan must be positioned so as to avoid pressurization of the exhaust ducts in the engine room.
The fan must not cause sparks if it comes into contact with the duct material.
The exhaust vent must comply with national regulations. The vent must not be obstructed and have means to prevent the entry of waste, leaves and birds. The bottom of each rising channel open to the outside must have a drain with a siphon for rainwater and with access for inspection.
For doors that communicate with other areas within the building and where the gas detector cannot detect refrigerants when these doors are opened, emergency ventilation must be started when a door is opened for more than 60 s.</t>
  </si>
  <si>
    <t>(*) Take into account the anti-vibration mounts considering an increase in height between 60 and 110 mm.</t>
  </si>
  <si>
    <r>
      <t>(*) In the case of floor installation, take into account the thickness of the anti-vibration material to be interposed</t>
    </r>
    <r>
      <rPr>
        <sz val="9"/>
        <color theme="1"/>
        <rFont val="Calibri"/>
        <family val="2"/>
        <scheme val="minor"/>
      </rPr>
      <t>.</t>
    </r>
  </si>
  <si>
    <t>Below are the tables relating to the noise values of TEON HPs</t>
  </si>
  <si>
    <t>If, following the installation and start-up of the unit, structural vibrations of the building are found that cause resonances that generate noise in some points of the same, it is necessary to contact a competent acoustic technician who will thoroughly analyze the problem.</t>
  </si>
  <si>
    <t>The machine must be installed respecting the technical spaces necessary to ensure accessibility to the hydraulic and electrical connections and the possible maintainability of the mechanical or electrical components.</t>
  </si>
  <si>
    <t>6.5_schema_distanze_unità_esterne_ENG.png</t>
  </si>
  <si>
    <t>The outdoor unit must be installed respecting the technical spaces required to ensure accessibility to the hydraulic and electrical connections, the possible maintainability of the mechanical or electrical components and above all the suction / expulsion of the exchange air.</t>
  </si>
  <si>
    <t xml:space="preserve">The choice of the place of installation must be made in compliance with the provisions of the EN 378-1 standard and following the requirements of the EN 378-3 standard. However, the installation site must still take into account any risks related to an accidental leakage of the refrigerant gas (R600a) contained inside the machine.
The machine was created for outdoor installations so it can also be installed outdoors without the need for special precautions as it has been designed to withstand the elements. In the case of installation in closed environments, please refer to the previous Chapter 4 or, in particular cases, to our technical office in order to evaluate and agree on the installation methods. A fundamental premise in the case of indoor installations must be adequate and sufficient ventilation of the environment in order to prevent the formation of concentrations of refrigerant gas.
Do not install the machine near flammable materials or materials that may cause fire. </t>
  </si>
  <si>
    <t>The machine must comply with the following installation conditions:
-   The electric pumps serving the machine must press on the machine, both on the circuit leading to the evaporator and on the circuit leading to the condenser.
-   Install non-return valves on the delivery of the electric pumps.
-   Y-type basket filters must be installed to protect the evaporator and condenser of the machine.
-   The installation of anti-vibration joints is required on the hydraulic connections (these accessories can be purchased from TEON when ordering the machine).
-   It is necessary to arrange interception valves on the inlet and outlet pipes of the machine also to facilitate maintenance interventions on the machine, plant side or source side.
-   Air vent valves must be installed in the high points and discharges in the low points of the circuit to which both the evaporator and the condenser belong.
-   The installation of a flow switch (FLUX) is mandatory on the pipes connected to the evaporator and condenser of the machine (inlet or outlet) (these accessories can be purchased from TEON when ordering the machine).
-   It is recommended to install thermometers and pressure gauges (possibly with shock absorber and stuffing box tap) near the hydraulic connections of the machine.
-   The water in the plant side primary circuit of the heat pump must have the following characteristics:</t>
  </si>
  <si>
    <t>7.1_Caratteristiche_acqua_ENG.png</t>
  </si>
  <si>
    <t>Water in the source side circuit of the heat pump must have the following characteristics:
-    If water is not glycolate it must have the same characteristics of the plant side water.
-    If water is glycolate it is also necessary to verify that the volume percentage of glycol is great enough to ensure operation under the minimum working conditions provided (see section 7.4.4 next).</t>
  </si>
  <si>
    <t>If warrant extension is active or if source water conditions does not comply with the above values, the use of a sacrificial exchanger is required.</t>
  </si>
  <si>
    <t>Connections are provided through VICTAULIC type connections. The pipes must be suitably insulated and supported, in order to avoid anomalous stresses on the machine. The pipes must be laid straight and square. A typical installation diagram is shown here below.</t>
  </si>
  <si>
    <r>
      <rPr>
        <vertAlign val="superscript"/>
        <sz val="11"/>
        <color theme="1"/>
        <rFont val="Calibri"/>
        <family val="2"/>
        <scheme val="minor"/>
      </rPr>
      <t>1</t>
    </r>
    <r>
      <rPr>
        <sz val="11"/>
        <color theme="1"/>
        <rFont val="Calibri"/>
        <family val="2"/>
        <scheme val="minor"/>
      </rPr>
      <t xml:space="preserve"> Connect the air vent of the deaerator with the external environment with a suitably sealed hose.</t>
    </r>
  </si>
  <si>
    <t>N.B .: the plumbing system and the connection of the system to the unit must comply with the regulations in force in the place of installation. In order to ensure the correct operation of the unit, it is necessary to ensure the necessary flow rate.</t>
  </si>
  <si>
    <t>7.1_Collegamento_evaporatore_comp_ENG.png</t>
  </si>
  <si>
    <t>7.2_Collegamento_condensatore_HT_comp_ENG.png</t>
  </si>
  <si>
    <t>7.3_Collegamento_condensatore_LT_comp_ENG.png</t>
  </si>
  <si>
    <t>Connections are provided through VICTAULIC type connections. The pipes must be suitably insulated and supported, in order to avoid anomalous stresses on the machine. The pipes must be laid straight and square. A typical installation scheme is shown in the following Figure:</t>
  </si>
  <si>
    <t>N.B.: the plumbing system and the connection of the system to the unit must comply with the regulations in force in the place of installation. In order to ensure the correct operation of the unit, it is necessary to ensure the necessary flow rate (for the maximum and minimum flow rate limits, refer to the tables in this document).</t>
  </si>
  <si>
    <t xml:space="preserve">Connections are provided through VICTAULIC type connections. The pipes must be suitably insulated and supported, in order to avoid anomalous stresses on the machine. The pipes must be laid straight and square. </t>
  </si>
  <si>
    <t>Note: the plumbing system and the connection of the system to the unit must comply with the regulations in force in the place of installation. In order to ensure the correct operation of the unit, it is necessary to ensure the necessary flow rate (for the maximum and minimum flow rate limits, refer to the tables in this document).</t>
  </si>
  <si>
    <t>For DC models, there are two configurations for the connections between HT condenser and LT condenser:
•   if the system is divided into two distinct parts, one low temperature and one high temperature, then the LT condenser will be connected to the low temperature system and the HT condenser will be connected to the high temperature system as shown in figures 21 and 20 respectively;
•   if the system is not divided into two parts and the kit out has not been purchased at the time of sale (see figure 23), then the installer will have to connect with a solenoid valve the HT condenser flow line with the LT condenser flow line and with a TTT the HT condenser return line with the LT condenser return line, as shown in the figure below.
Figure shows the connection diagram between the HT condenser and the LT condenser in the case where the system, where the DC model T is connected, consists of two pipes.</t>
  </si>
  <si>
    <t>7.4_Collegamento_condensatore_HT_LT_comp_ENG.png</t>
  </si>
  <si>
    <t>The figure below shows the connection diagram between the main unit and the external unit of the machine.</t>
  </si>
  <si>
    <t>TEON strongly recommends that the anti-vibration mounts of the outdoor units be solidly anchored to the ground so as to withstand all weather conditions. TEON takes no responsibility for the consequences of poor installation and ground anchoring for all of its outdoor units.</t>
  </si>
  <si>
    <t>The following accessories can be supplied with the machine:
-   Kit out
-   Well pump
-   Well sensors complete with cable
-   Well pump inverter
-   Groundwater meter
-   Decoupling exchanger
-   Circulator
-   Probe and probe holder
-   Anti-vibration mounts
-   Anti-vibration joints
-   Machine flow switches
-   Hydraulic manifold kit
-   Insulated inertial tank
-   Double coil DHW tank
-   External humidity probe
-   Room temperature probe
-   Ambient temperature and humidity probe
-   Deaerator</t>
  </si>
  <si>
    <t>With regard to the instructions for the correct installation of these components, please refer to the technical data sheets / user and installation manuals of the individual components supplied. Below are provided only the main requirements to ensure the correct operation of the system and the durability of the components.</t>
  </si>
  <si>
    <t xml:space="preserve">Before placing it inside the well, check that the non-return valve is not blocked and that the filter is well mounted. The pump must be installed at a depth between 1 m and 3 m from the bottom of the well. Pay particular attention to the junction with muffle in order to guarantee watertight integrity. </t>
  </si>
  <si>
    <t>In order not to overheat the well pump, the inverter calibration must be limited to a range between 35% and 100% of the grid frequency. Programming must be carried out by carefully following the instructions in the manual. If installed in an electrical panel, ensure sufficient ventilation in order to avoid harmful overheating. The inverter must be installed near the plant and not the well.</t>
  </si>
  <si>
    <t>Ensure a straight stub pipe both upstream and downstream of a length at least equal to 5 times the diameter of the pipe. Check in the instruction manual whether oblique or vertical installation is also allowed.</t>
  </si>
  <si>
    <t>The brazed plate heat exchangers must be installed in such a way as to leave enough space around them to allow drainage and maintenance operations. We therefore suggest to leave a free space of about 40 cm between the exchanger and the surrounding buildings.</t>
  </si>
  <si>
    <t>The assembly must be vertical with the connections in countercurrent (see assembly diagram indicated in the installation manual supplied).</t>
  </si>
  <si>
    <t xml:space="preserve">Commissioning </t>
  </si>
  <si>
    <t xml:space="preserve">Slowly open the flow and return valves until the operating temperature is reached. Make sure you have emptied all the air contained in the exchanger; any residual air in the same could reduce its efficiency and increase the danger of corrosion. Start-up must be slow and simultaneous for both circuits. If that's not possible, start on the warm side. In the event of a prolonged stop of the system, the exchanger must be emptied completely, especially if aggressive fluids are present, there is a danger of freezing or the treated fluids have a high fouling coefficient. </t>
  </si>
  <si>
    <t xml:space="preserve">Functioning </t>
  </si>
  <si>
    <t xml:space="preserve">Check that the exchanger is not subjected to any type of vibration / pulsation. Check that the pipes have been correctly connected to the exchanger. </t>
  </si>
  <si>
    <t xml:space="preserve">Antifreeze </t>
  </si>
  <si>
    <t xml:space="preserve">The formation of ice damages the exchanger, therefore it is necessary to provide for the use of antifreeze fluids (eg glycol) in cases where the operation of the exchanger approaches the freezing point of the fluids used. </t>
  </si>
  <si>
    <t>ATTENTION: water hammer and vibrations can cause fluid leaks from the exchanger.</t>
  </si>
  <si>
    <t xml:space="preserve">Strictly follow the instructions indicated in the installation manual supplied. The circulator must be installed so that it pushes towards the heat pump. To contain vibrations, it is good practice to mount anti-vibration joints upstream and downstream and elastic supports in the fixings at the fixed points. </t>
  </si>
  <si>
    <t>Before mounting the probe holders and probes ensure that the wells are installed obliquely at 45 degrees away from the flow. For the rest, no particular prescriptions other than those present in the relative technical data sheets.</t>
  </si>
  <si>
    <t xml:space="preserve">Once the machine has been placed in its final position, completely screw the adjustment nuts of the anti-vibration supports in order to raise the supports to the maximum; tighten the fixing nuts to the machine frame, adjust the anti-vibration supports in order to detach the iron supports from the ground, remove them and use the adjustment nuts to level the machine. </t>
  </si>
  <si>
    <t>No major recommendation.</t>
  </si>
  <si>
    <t>Ensure a straight stub pipe both upstream and downstream of a length at least equal to 5 times the diameter of the pipe. Check in the instruction manual whether oblique or vertical installation is also allowed. Check that the tab is the one relating to the installation diameter and make sure that the tab penetrates inside the pipe up to about 5 mm from the opposite wall to the insertion wall.</t>
  </si>
  <si>
    <t>Calibrate the adjustment springs both in rest conditions and in working conditions. Check in the instruction manual if the state flow is positive or negative.</t>
  </si>
  <si>
    <t>ATTENTION: the correct operation of the flow switches is mandatory at the time of commissioning, therefore, in order to avoid an empty intervention by the TEON technicians for commissioning, once the assembly has been completed, carry out operation tests to verify the tripping of the with pump off and on.</t>
  </si>
  <si>
    <t>Strictly follow the instructions indicated in the installation manuals of the various components of the kit. In particular, see the recommendations relating to the circulator (and mount the non-return valve in the direction of flow as indicated by the arrow shown on the valve body. To fill the glycol, a filling point must be provided in the highest part of the circuit (unless a gear pump is used). Mix the glycol in the volume percentages prescribed in the project and load it into the system. Pay attention to the information regarding the environment, safety and health reported in paragraph.</t>
  </si>
  <si>
    <t xml:space="preserve">Ensure that there are no geometric variations along the pipe both upstream and downstream from the point of installation of the component for a length at least 5 times the diameter of the pipe. To install the flow meters, carefully follow the instructions provided by TEON together with the component, i.e. the electrical connection diagrams and the installation manual. 
ATTENTION: the correct operation of the flow meters is mandatory at the time of commissioning, therefore, in order to avoid a futile intervention by TEON technicians for commissioning, once assembly has been completed perform some operating tests to verify that the parameters of the switching/analogue outputs are correct. Carry out the checks both with the circulator off and on. </t>
  </si>
  <si>
    <t>Ensure that there are no geometric variations along the pipe both upstream and downstream from the component installation point for a length at least 5 times the diameter of the pipe. To install the flow meters, carefully follow the instructions provided by TEON together with the component. In particular, once the probe has been inserted into the well, before tightening the process fitting around the probe, pay particular attention to positioning it correctly (the tip of the probe must be exactly in the centre of the pipe and the large wrench connection must be upstream, i.e. exposed to the fluid). 
ATTENTION: the correct functioning of the flow meters is mandatory when commissioning them, therefore, in order to avoid a blank intervention by TEON technicians for commissioning, once assembly has been completed, perform operating tests to verify that the parameters of the switching/analogue outputs are correct. Carry out the checks both with the circulator off and on.</t>
  </si>
  <si>
    <t>Preferably, the circulator must be installed between the system and the tank and must push towards the system.</t>
  </si>
  <si>
    <t>The circulator must be installed in such a way as to push towards the heat pump.</t>
  </si>
  <si>
    <t>Make sure it is installed in a place not accessible from the ground, in the north and always in the shade.</t>
  </si>
  <si>
    <t>Install in the generally colder room at a height of about 1.5 m from the floor.</t>
  </si>
  <si>
    <t>Connect the component's vent with the external environment with a well-sealed hose. Make sure that there are no leaks of any kind along the way.</t>
  </si>
  <si>
    <t>All the hydraulic circuits of the system must be performed in compliance with local and national legislation in force.</t>
  </si>
  <si>
    <t>It is necessary to install shut-off valves that isolate the units from the rest of the system.</t>
  </si>
  <si>
    <t>It is mandatory to install dirt collectors of adequate size and pressure drop</t>
  </si>
  <si>
    <t>As well as:
-   During long periods of inactivity, it is advisable to drain the water from the system (excluding the glycol circuits).
-   Any expansion tank must be calculated by the designer according to the water content of the system.
-   The electric pumps serving the machine must press on the machine, both on the circuit which leads to the evaporator and on the circuit which leads to the condenser.
-   The presence of a flow switch (FLUX) is required on the pipes connected to the evaporator and condenser of the machine (inlet or outlet).
-   It is recommended to install thermometers and pressure gauges (possibly with shock absorber and stuffing box tap) near the hydraulic connections of the machine.
-   We recommend the installation of air vent valves in the high points of the system, and system / machine drain cocks in the low points of the system.
-   Once the unit has been connected, check that all pipes do not leak and vent the air contained in the circuit.</t>
  </si>
  <si>
    <t>-   The units must be positioned respecting the minimum recommended technical spaces, bearing in mind the accessibility to water and electrical connections.
-   It is necessary to install elastic connection joints; furthermore, the pipes must be supported rigidly and by solid structures.</t>
  </si>
  <si>
    <t>The circulation electric pumps that will be installed on the main hydraulic circuits will have characteristics such as to overcome, at the nominal flow rate, the pressure drops of the entire system and of the machine's heat exchanger.
The operation of the source side pump is normally subject to the operation of the machine with an early start and a delayed shutdown with respect to the unit compressors with a time set by the manufacturer.
When the machine is switched on, the first devices that start up are the pumps (source and user side), which have priority over the rest of the system. During the start-up phase, any alarm from flow switches of minimum water flow, mounted near the unit, has longer intervention times, to avoid oscillations resulting from air bubbles or turbulence in the hydraulic circuit. When fully operational, the intervention times are shorter and block the operation of the machine.
The user-side pump maintains operation strictly linked to the operation of the unit and is excluded only from the shutdown command. To dispose of the residual heat on the water exchanger, when the machine is switched off, the pump will continue to operate for a pre-set time before the final stop.</t>
  </si>
  <si>
    <t>With the unit taken out of service, it is necessary to provide in time for the entire water content of the circuit to be emptied.</t>
  </si>
  <si>
    <t>The use of antifreeze additives reduces the performance of the machine. For this reason, with the use of these substances, a machine equipped with heat exchangers suitable for the use of antifreeze is preferable.</t>
  </si>
  <si>
    <t>With the unit in operation, the control board protects the water side exchanger from freezing by triggering two levels of anti-freeze alarm which stops the machine if the temperature of the probe, placed on the exchanger, reaches the set set point. The first level turns off the machine when a certain temperature of the water leaving the evaporator is reached. Once the temperature returns to normal operating levels, the machine restarts automatically. The second alarm level occurs if the temperature reached at the evaporator is particularly low, this blocks the machine until the alarm is manually reset.</t>
  </si>
  <si>
    <t xml:space="preserve">In the standard version, the minimum water temperature at the evaporator outlet must be greater than or equal to 5 ° C, for lower temperatures the use of ethylene glycol is mandatory. By following the indications shown in the following graph, it is possible to obtain the percentage of glycol as a function of the minimum temperature of the source. </t>
  </si>
  <si>
    <t>7.8_grafico_glicole_ENG.png</t>
  </si>
  <si>
    <t>7.9_collegamanti_elettrici_(R)T10_(R)T30_(R)T60_(R)T115_(R)T350_ENG.png</t>
  </si>
  <si>
    <t>7.9_collegamanti_elettrici_(R)T250_ENG.png</t>
  </si>
  <si>
    <t xml:space="preserve">For the electrical connections of the unit and accessories, refer to the supplied wiring diagram. </t>
  </si>
  <si>
    <t>7.9_Pericolo_generico_elettrico_1_2_ENG.png</t>
  </si>
  <si>
    <r>
      <t xml:space="preserve">the </t>
    </r>
    <r>
      <rPr>
        <b/>
        <sz val="11"/>
        <color rgb="FF00B0F0"/>
        <rFont val="Calibri"/>
        <family val="2"/>
        <scheme val="minor"/>
      </rPr>
      <t>T</t>
    </r>
    <r>
      <rPr>
        <b/>
        <sz val="11"/>
        <color theme="1"/>
        <rFont val="Calibri"/>
        <family val="2"/>
        <scheme val="minor"/>
      </rPr>
      <t>10</t>
    </r>
    <r>
      <rPr>
        <sz val="11"/>
        <color theme="1"/>
        <rFont val="Calibri"/>
        <family val="2"/>
        <scheme val="minor"/>
      </rPr>
      <t xml:space="preserve"> version can also be requested with the "Single-phase power supply" accessory. Check the value of the mains voltage and frequency which must be within the limit of 230-1- 50.</t>
    </r>
  </si>
  <si>
    <t xml:space="preserve">Check the value of the mains voltage and frequency which must be within the limit of 400-3-50 ± 6%. Check the unbalance of the phases: it must be less than 2%. </t>
  </si>
  <si>
    <r>
      <t xml:space="preserve">Example (not valid for the single-phase </t>
    </r>
    <r>
      <rPr>
        <b/>
        <sz val="11"/>
        <color rgb="FF15A8DD"/>
        <rFont val="Calibri"/>
        <family val="2"/>
        <scheme val="minor"/>
      </rPr>
      <t>T</t>
    </r>
    <r>
      <rPr>
        <b/>
        <sz val="11"/>
        <color theme="1"/>
        <rFont val="Calibri"/>
        <family val="2"/>
        <scheme val="minor"/>
      </rPr>
      <t>10</t>
    </r>
    <r>
      <rPr>
        <sz val="11"/>
        <color theme="1"/>
        <rFont val="Calibri"/>
        <family val="2"/>
        <scheme val="minor"/>
      </rPr>
      <t xml:space="preserve"> version):
L1-L2 = 388V, L2-L3 = 379V, L3-L1 = 377V
Average of the measured values = (388 + 379 + 377) / 3 = 381 V.
Maximum deviation from the mean = 388-381 = 7 V.
Imbalance = (7/381) x 100 = 1.83% (acceptable as it is within the expected limit).</t>
    </r>
  </si>
  <si>
    <r>
      <t xml:space="preserve">Esempio (non valido per la versione </t>
    </r>
    <r>
      <rPr>
        <b/>
        <sz val="11"/>
        <color rgb="FF15A8DD"/>
        <rFont val="Calibri"/>
        <family val="2"/>
        <scheme val="minor"/>
      </rPr>
      <t>T</t>
    </r>
    <r>
      <rPr>
        <b/>
        <sz val="11"/>
        <color theme="1"/>
        <rFont val="Calibri"/>
        <family val="2"/>
        <scheme val="minor"/>
      </rPr>
      <t>10</t>
    </r>
    <r>
      <rPr>
        <sz val="11"/>
        <color theme="1"/>
        <rFont val="Calibri"/>
        <family val="2"/>
        <scheme val="minor"/>
      </rPr>
      <t xml:space="preserve"> monofase):
L1-L2 = 388 V, L2-L3 = 379 V, L3-L1 = 377 V
Media dei valori misurati = (388+379+377) / 3 = 381 V
Massima deviazione dalla media = 388-381 = 7 V
Sbilanciamento = (7 / 381) x 100 = 1,83% (accettabile in quanto rientra nel limite previsto).</t>
    </r>
  </si>
  <si>
    <r>
      <t xml:space="preserve">La versione </t>
    </r>
    <r>
      <rPr>
        <b/>
        <sz val="11"/>
        <color rgb="FF15A8DD"/>
        <rFont val="Calibri"/>
        <family val="2"/>
        <scheme val="minor"/>
      </rPr>
      <t>T</t>
    </r>
    <r>
      <rPr>
        <b/>
        <sz val="11"/>
        <color theme="1"/>
        <rFont val="Calibri"/>
        <family val="2"/>
        <scheme val="minor"/>
      </rPr>
      <t>10</t>
    </r>
    <r>
      <rPr>
        <sz val="11"/>
        <color theme="1"/>
        <rFont val="Calibri"/>
        <family val="2"/>
        <scheme val="minor"/>
      </rPr>
      <t xml:space="preserve"> può essere richiesta anche con l’accessorio “Alimentazione monofase”. Controllare il valore della tensione e della frequenza di rete che deve rientrare entro il limite di 230-1-50.</t>
    </r>
  </si>
  <si>
    <t>Route the power cables through the appropriate cable glands on the top panel and on the electrical panel. The power supply must be brought to the switch-disconnector. The power supply cable must be of the flexible type with PVC or rubber sheath no lighter than H05RN-F: for the section refer to the wiring diagram.</t>
  </si>
  <si>
    <t>The connections between boards must be made with shielded cable (provide continuity of the screen throughout the extension of the cable) consisting of 2 twisted 0.5 mm² conductors and the screen. The shield must be connected to the earth bar on the panel (on one side only). The maximum expected distance is 30 m. Lay the cables away from power cables or cables with different voltages or which emit electromagnetic disturbances. Avoid laying cables near equipment that can create electromagnetic interference.</t>
  </si>
  <si>
    <t>CR              Remote control (command with clean contact)</t>
  </si>
  <si>
    <t>DS              Double set-point, command with clean contact (OPTIONAL)</t>
  </si>
  <si>
    <t>When the unit is set to OFF from the remote control selector, the message OFF by digital input appears on the control panel display.</t>
  </si>
  <si>
    <t>Remove the jumper from terminal ID8 on the electronic board and connect the cables from the remote control ON / OFF selector (selector made by the installer).</t>
  </si>
  <si>
    <t>A selector can be connected to switch between two set points (OPTIONAL).</t>
  </si>
  <si>
    <t>7.9_Contatto_remoto_ENG.png</t>
  </si>
  <si>
    <t>7.9_Contatti_selettore_ENG.png</t>
  </si>
  <si>
    <t>CPI – System pump</t>
  </si>
  <si>
    <t>CPS – Source pump</t>
  </si>
  <si>
    <t>Evaporator and condenser flow switches (from source and system side)</t>
  </si>
  <si>
    <r>
      <t xml:space="preserve">Well pump </t>
    </r>
    <r>
      <rPr>
        <sz val="11"/>
        <color theme="1"/>
        <rFont val="Calibri"/>
        <family val="2"/>
        <scheme val="minor"/>
      </rPr>
      <t>(if present a decoupling heat exchanger)</t>
    </r>
  </si>
  <si>
    <r>
      <t xml:space="preserve">Domestic hot water (DHW) pump </t>
    </r>
    <r>
      <rPr>
        <sz val="11"/>
        <color theme="1"/>
        <rFont val="Calibri"/>
        <family val="2"/>
        <scheme val="minor"/>
      </rPr>
      <t>(if present the production of DHW)</t>
    </r>
  </si>
  <si>
    <t>-   Connect the signals in parallel to the source pump (DAB model) using a relay from the user’s distribution board with 2 normally open contacts. 
-   0-10V signal: connect the signals n.25733 and n.82501 from the heat pump distribution board to the 0-10V contacts of the well pump.</t>
  </si>
  <si>
    <t>-   When multiple machines are working in parallel, the well flow switch is connected using a relay with the number of normally open contacts equal to the number of the machines (following figure represents the case of 2 machines working in parallel).</t>
  </si>
  <si>
    <t>-   Connect in series with the evaporator flow switch.</t>
  </si>
  <si>
    <t>Pump model: DAB, with and without an inverter.
-   Supply: 230VAC from the user’s distribution board.
-   Relay: 24VAC from the user’s distribution board – connect the normally open (NO) relay contact to the terminals n.12 and n.13 of the pump with an inverter, or directlly to the supply contacts in case of the pump without an inverter. Signal contacts are provided from the heat pump distribution board using the cables n.75105 and n.25733. 
-   0-10V signal: connect cables n.25733 and n.82502 from the heat pump distribution board to the terminals n.3 an n.9 of the pump with an inverter.
-   ATTENTION: Remove the jumper between the terminals n.12 and n.13 of the pump with an inverter.</t>
  </si>
  <si>
    <t>Pump model: DAB, with and without an inverter.
-   Supply: 230VAC from the user’s distribution board.
-   Relay: 24VAC from the user’s distribution board – connect the normally open (NO) relay contact to the terminals n.12 and n.13 of the pump with an inverter, or directlly to the supply contacts in case of the pump without an inverter. Signal contacts are provided from the heat pump distribution board using the cables n.75003 and n.25733. 
-   0-10V signal: connect cables n.25733 and n.82501 from the heat pump distribution board to the terminals n.3 an n.9 of the pump with an inverter.
-   ATTENTION: Remove the jumper between the terminals n.12 and n.13 of the pump with an inverter.</t>
  </si>
  <si>
    <t>Flow switch model: RIELS
-   Evaporator flow switch: from the heat pump distribution board connect the signals n.25734 and n.70004  to the red and white flow switch contacts respectively.
-   Condenser flow switch: from the heat pump distribution board connect the signals n.25734 and n.70005  to the red and white flow switch contacts respectively.</t>
  </si>
  <si>
    <t>Pump model: DAB, with and without an inverter.
-   Supply: 230VAC from the user’s distribution board.
-   Relay: 24VAC from the user’s distribution board – connect the normally open (NO) relay contact to the terminals n.12 and n.13 of the pump with an inverter, or directlly to the supply contacts in case of the pump without an inverter. Signal contacts are provided from the heat pump distribution board using the cables n.75209 and n.25733. 
-   0-10V signal: connect cables n.25733 and n.82501 from the heat pump distribution board to the terminals n.3 an n.9 of the pump with an inverter.
-   ATTENTION: 
I.   Remove the jumper between the terminals n.12 and n.13 of the pump with an inverter.
II.  *Only for models T70-DC, T140-DC and (R)T250 use the signal n.75522 instead of n.75209.</t>
  </si>
  <si>
    <t>7.9.3_Collegamento_pompa_impianto_ENG.png</t>
  </si>
  <si>
    <t>7.9.3_Collegamento_pompa_sorgente_ENG.png</t>
  </si>
  <si>
    <t>7.9.3_Collegamenti_flussostati_ENG.png</t>
  </si>
  <si>
    <t>7.9.3_Collegamenti_flussostati_pozzo_ENG.png</t>
  </si>
  <si>
    <t>7.9.3_Collegamenti_flussostati_pozzo_parallelo_ENG.png</t>
  </si>
  <si>
    <t>7.9.3_Collegamenti_pompa_pozzo_ENG.png</t>
  </si>
  <si>
    <t>7.9.3_Collegamenti_pompa_ACS_ENG.png</t>
  </si>
  <si>
    <t>7.9.3_Collegamenti_sonda_boiler_ENG.png</t>
  </si>
  <si>
    <t>7.9.3_Collegamenti_sonda_esterna_ENG.png</t>
  </si>
  <si>
    <t>7.9.3_Collegamenti_valvola_tre_vie_sorgente_ENG.png</t>
  </si>
  <si>
    <t>7.9.3_Collegamenti_valvola_tre_vie_ENG.png</t>
  </si>
  <si>
    <t>-    Supply: from the user’s distribution board.
-    0-10V signal: connect the signals n.82503 and n.825GND from the heat pump distribution board.</t>
  </si>
  <si>
    <t>-    Connect the signals n.80207 and n.802GND from the heat pump distribution board.</t>
  </si>
  <si>
    <r>
      <t>-    Connect the signals n.</t>
    </r>
    <r>
      <rPr>
        <i/>
        <sz val="11"/>
        <color theme="1"/>
        <rFont val="Calibri"/>
        <family val="2"/>
        <scheme val="minor"/>
      </rPr>
      <t>80208</t>
    </r>
    <r>
      <rPr>
        <sz val="11"/>
        <color theme="1"/>
        <rFont val="Calibri"/>
        <family val="2"/>
        <scheme val="minor"/>
      </rPr>
      <t xml:space="preserve"> and n.</t>
    </r>
    <r>
      <rPr>
        <i/>
        <sz val="11"/>
        <color theme="1"/>
        <rFont val="Calibri"/>
        <family val="2"/>
        <scheme val="minor"/>
      </rPr>
      <t xml:space="preserve">802GND </t>
    </r>
    <r>
      <rPr>
        <sz val="11"/>
        <color theme="1"/>
        <rFont val="Calibri"/>
        <family val="2"/>
        <scheme val="minor"/>
      </rPr>
      <t>from the heat pump distribution board.</t>
    </r>
  </si>
  <si>
    <r>
      <rPr>
        <b/>
        <sz val="11"/>
        <color theme="1"/>
        <rFont val="Calibri"/>
        <family val="2"/>
        <scheme val="minor"/>
      </rPr>
      <t xml:space="preserve">Well flow switch </t>
    </r>
    <r>
      <rPr>
        <sz val="11"/>
        <color theme="1"/>
        <rFont val="Calibri"/>
        <family val="2"/>
        <scheme val="minor"/>
      </rPr>
      <t>(if present a decoupling heat exchanger)</t>
    </r>
  </si>
  <si>
    <r>
      <rPr>
        <b/>
        <sz val="11"/>
        <color theme="1"/>
        <rFont val="Calibri"/>
        <family val="2"/>
        <scheme val="minor"/>
      </rPr>
      <t>Additional components for DHW</t>
    </r>
    <r>
      <rPr>
        <sz val="11"/>
        <color theme="1"/>
        <rFont val="Calibri"/>
        <family val="2"/>
        <scheme val="minor"/>
      </rPr>
      <t xml:space="preserve"> (if present the production of DHW)</t>
    </r>
  </si>
  <si>
    <r>
      <rPr>
        <b/>
        <sz val="11"/>
        <color theme="1"/>
        <rFont val="Calibri"/>
        <family val="2"/>
        <scheme val="minor"/>
      </rPr>
      <t>Boiler probe</t>
    </r>
    <r>
      <rPr>
        <sz val="11"/>
        <color theme="1"/>
        <rFont val="Calibri"/>
        <family val="2"/>
        <scheme val="minor"/>
      </rPr>
      <t xml:space="preserve"> (if present the production of DHW)</t>
    </r>
  </si>
  <si>
    <r>
      <rPr>
        <b/>
        <sz val="11"/>
        <color theme="1"/>
        <rFont val="Calibri"/>
        <family val="2"/>
        <scheme val="minor"/>
      </rPr>
      <t>External temperature probe</t>
    </r>
    <r>
      <rPr>
        <sz val="11"/>
        <color theme="1"/>
        <rFont val="Calibri"/>
        <family val="2"/>
        <scheme val="minor"/>
      </rPr>
      <t xml:space="preserve"> (if present)</t>
    </r>
  </si>
  <si>
    <r>
      <rPr>
        <b/>
        <sz val="11"/>
        <color theme="1"/>
        <rFont val="Calibri"/>
        <family val="2"/>
        <scheme val="minor"/>
      </rPr>
      <t>3-way mixing valve</t>
    </r>
    <r>
      <rPr>
        <sz val="11"/>
        <color theme="1"/>
        <rFont val="Calibri"/>
        <family val="2"/>
        <scheme val="minor"/>
      </rPr>
      <t xml:space="preserve"> (if present)</t>
    </r>
  </si>
  <si>
    <r>
      <t xml:space="preserve">The controls consist of the switch located in the electrical power supply panel outside the machine and the user interface panel accessible on the (see the </t>
    </r>
    <r>
      <rPr>
        <i/>
        <sz val="11"/>
        <color theme="1"/>
        <rFont val="Calibri"/>
        <family val="2"/>
        <scheme val="minor"/>
      </rPr>
      <t>Use and Maintenance Manual</t>
    </r>
    <r>
      <rPr>
        <sz val="11"/>
        <color theme="1"/>
        <rFont val="Calibri"/>
        <family val="2"/>
        <scheme val="minor"/>
      </rPr>
      <t xml:space="preserve"> for description).</t>
    </r>
  </si>
  <si>
    <t>The main switch, if open, cuts off the power supply. This switch should only be activated when cleaning, maintaining or repairing the machine.</t>
  </si>
  <si>
    <t>Manually operated switching and disconnecting power supply device. This switch, located on the electrical panel of the system outside the machine, disconnects the machine from the electrical power supply.</t>
  </si>
  <si>
    <t>Modifications or variations of the operating parameters of the machine must be carried out paying the utmost attention not to create situations of contrast with other parameters set.</t>
  </si>
  <si>
    <t>The controls consist of the switch located in the electrical power supply panel outside the machine and the user interface panel accessible on the machine. For a description of the main commands of the interface panel, refer to the Use and Maintenance Manual; the specific commands relating to the "Info" section are shown below; these commands are not used during use but only during installation and / or maintenance.</t>
  </si>
  <si>
    <t>The general synoptics of the unit can be viewed from the user menu. The physical states of the inputs, the outputs of the devices and the probes are available in a menu linked to the synoptics. If the input or output have not been enabled, the mask will not appear.
The individual screens of the synoptics are shown below.</t>
  </si>
  <si>
    <t>The unit is equipped with two pressure switches.
-   High pressure switch (A): when the pressure exceeds the set value (15 bar), it switches off the machine.
-   Low pressure switch (B): when the pressure drops below the set value (-0.5 bar), it switches off the machine.</t>
  </si>
  <si>
    <r>
      <rPr>
        <i/>
        <sz val="11"/>
        <color theme="1"/>
        <rFont val="Calibri"/>
        <family val="2"/>
        <scheme val="minor"/>
      </rPr>
      <t>Automatic motor protection switch to protect the compressor</t>
    </r>
    <r>
      <rPr>
        <sz val="11"/>
        <color theme="1"/>
        <rFont val="Calibri"/>
        <family val="2"/>
        <scheme val="minor"/>
      </rPr>
      <t xml:space="preserve">
The switch allows the power supply, isolation and protection of the compressor power circuit. The intervention thresholds of the motor protection are suitably calibrated by the manufacturer.
Other circuit breakers, differential circuit breakers and motor protection switches for the protection of services, auxiliaries, actuators and loads, are installed in a variable configuration based on the options chosen.</t>
    </r>
  </si>
  <si>
    <t>7.10_Pericolo_generico_comandi_1_ENG.png</t>
  </si>
  <si>
    <t>7.10_Perciolo_componente_tensione_ENG.png</t>
  </si>
  <si>
    <t>Figure shows the synoptic of the compressor:</t>
  </si>
  <si>
    <t>Figure 31 shows the ExV synoptic:</t>
  </si>
  <si>
    <t>Figure 32 shows the synoptic of the system:</t>
  </si>
  <si>
    <r>
      <t>Figure 33 shows the</t>
    </r>
    <r>
      <rPr>
        <i/>
        <sz val="11"/>
        <color theme="1"/>
        <rFont val="Calibri"/>
        <family val="2"/>
        <scheme val="minor"/>
      </rPr>
      <t xml:space="preserve"> synoptic of the source</t>
    </r>
    <r>
      <rPr>
        <sz val="11"/>
        <color theme="1"/>
        <rFont val="Calibri"/>
        <family val="2"/>
        <scheme val="minor"/>
      </rPr>
      <t>:</t>
    </r>
  </si>
  <si>
    <t>7.10.5_Sinottico_compressore_termini_ENG.png</t>
  </si>
  <si>
    <t>7.10.5_Sinottico_ExV_termini_ENG.png</t>
  </si>
  <si>
    <t>7.10.5_Sinottico_Impianto_termini_ENG.png</t>
  </si>
  <si>
    <r>
      <t xml:space="preserve">This chapter contains a series of rules and instructions to be followed which are to be considered complementary to what is additionally indicated in the </t>
    </r>
    <r>
      <rPr>
        <i/>
        <sz val="11"/>
        <color theme="1"/>
        <rFont val="Calibri"/>
        <family val="2"/>
        <scheme val="minor"/>
      </rPr>
      <t>Maintenance Manual</t>
    </r>
    <r>
      <rPr>
        <sz val="11"/>
        <color theme="1"/>
        <rFont val="Calibri"/>
        <family val="2"/>
        <scheme val="minor"/>
      </rPr>
      <t xml:space="preserve"> in paragraph P.2. Please therefore also consult the aforementioned document in addition.</t>
    </r>
  </si>
  <si>
    <t>8_Pericolo_generico_ENG.png</t>
  </si>
  <si>
    <r>
      <t>7.10.5.1</t>
    </r>
    <r>
      <rPr>
        <b/>
        <i/>
        <sz val="7"/>
        <color rgb="FF2F75B5"/>
        <rFont val="Times New Roman"/>
        <family val="1"/>
      </rPr>
      <t xml:space="preserve">        </t>
    </r>
    <r>
      <rPr>
        <b/>
        <i/>
        <sz val="11"/>
        <color rgb="FF2F75B5"/>
        <rFont val="Calibri"/>
        <family val="2"/>
        <scheme val="minor"/>
      </rPr>
      <t>Compressor synoptic</t>
    </r>
  </si>
  <si>
    <r>
      <t>7.10.5.2 </t>
    </r>
    <r>
      <rPr>
        <b/>
        <i/>
        <sz val="7"/>
        <color rgb="FF2F75B5"/>
        <rFont val="Times New Roman"/>
        <family val="1"/>
      </rPr>
      <t xml:space="preserve">      </t>
    </r>
    <r>
      <rPr>
        <b/>
        <i/>
        <sz val="11"/>
        <color rgb="FF2F75B5"/>
        <rFont val="Calibri"/>
        <family val="2"/>
        <scheme val="minor"/>
      </rPr>
      <t>Synoptic ExV</t>
    </r>
  </si>
  <si>
    <r>
      <t>7.10.5.3 </t>
    </r>
    <r>
      <rPr>
        <b/>
        <i/>
        <sz val="7"/>
        <color rgb="FF2F75B5"/>
        <rFont val="Times New Roman"/>
        <family val="1"/>
      </rPr>
      <t xml:space="preserve">        </t>
    </r>
    <r>
      <rPr>
        <b/>
        <i/>
        <sz val="11"/>
        <color rgb="FF2F75B5"/>
        <rFont val="Calibri"/>
        <family val="2"/>
        <scheme val="minor"/>
      </rPr>
      <t>Synoptic of the system</t>
    </r>
  </si>
  <si>
    <r>
      <t>7.10.5.4 </t>
    </r>
    <r>
      <rPr>
        <b/>
        <i/>
        <sz val="7"/>
        <color rgb="FF2F75B5"/>
        <rFont val="Times New Roman"/>
        <family val="1"/>
      </rPr>
      <t xml:space="preserve">       </t>
    </r>
    <r>
      <rPr>
        <b/>
        <i/>
        <sz val="11"/>
        <color rgb="FF2F75B5"/>
        <rFont val="Calibri"/>
        <family val="2"/>
        <scheme val="minor"/>
      </rPr>
      <t>Synoptic of the source</t>
    </r>
  </si>
  <si>
    <r>
      <t xml:space="preserve">The units are tested in the factory, where the calibrations and standard settings of the parameters are carried out to guarantee the correct operation of the machines in nominal working conditions.
</t>
    </r>
    <r>
      <rPr>
        <b/>
        <sz val="11"/>
        <color theme="1"/>
        <rFont val="Calibri"/>
        <family val="2"/>
        <scheme val="minor"/>
      </rPr>
      <t>The configuration of the machine is carried out in the factory and must never be changed except by authorized personnel.</t>
    </r>
  </si>
  <si>
    <t>The commissioning or initial start-up of the machine must be carried out exclusively by qualified personnel authorized by TEON, and in any case qualified to operate on this type of product.</t>
  </si>
  <si>
    <t>8.1_Pericolo_componente_tensione_ENG.png</t>
  </si>
  <si>
    <t>8.2_Pericolo_generico_ENG.png</t>
  </si>
  <si>
    <r>
      <t xml:space="preserve">Before starting the unit carry out the following checks.
-   The power supply must have characteristics that comply with what is indicated on the identification plate and / or on the wiring diagram and must fall within the following limits:
</t>
    </r>
    <r>
      <rPr>
        <sz val="11"/>
        <color theme="0"/>
        <rFont val="Calibri"/>
        <family val="2"/>
        <scheme val="minor"/>
      </rPr>
      <t>******</t>
    </r>
    <r>
      <rPr>
        <sz val="11"/>
        <color theme="1"/>
        <rFont val="Calibri"/>
        <family val="2"/>
        <scheme val="minor"/>
      </rPr>
      <t xml:space="preserve">•    Power frequency variation: ± 2 Hz.
</t>
    </r>
    <r>
      <rPr>
        <sz val="11"/>
        <color theme="0"/>
        <rFont val="Calibri"/>
        <family val="2"/>
        <scheme val="minor"/>
      </rPr>
      <t>******</t>
    </r>
    <r>
      <rPr>
        <sz val="11"/>
        <color theme="1"/>
        <rFont val="Calibri"/>
        <family val="2"/>
        <scheme val="minor"/>
      </rPr>
      <t xml:space="preserve">•    Variation of the supply voltage: ± 10% of the rated voltage.
</t>
    </r>
    <r>
      <rPr>
        <sz val="11"/>
        <color theme="0"/>
        <rFont val="Calibri"/>
        <family val="2"/>
        <scheme val="minor"/>
      </rPr>
      <t>******</t>
    </r>
    <r>
      <rPr>
        <sz val="11"/>
        <color theme="1"/>
        <rFont val="Calibri"/>
        <family val="2"/>
        <scheme val="minor"/>
      </rPr>
      <t>•    Imbalance between the power supply phases: &lt;2%.
-   The power supply must provide adequate current to support the load.
-   Access the electrical panel and check that the power supply and contactor terminals are tightened (they may loosen during transport, this would lead to malfunctions).</t>
    </r>
  </si>
  <si>
    <t>The electrical connections must be made in compliance with the regulations in force in the place of installation and the indications given on the wiring diagram supplied with the unit.
With reference to the compressor only, the Table here below shows the procedure and checks to be carried out before start-up during commissioning.</t>
  </si>
  <si>
    <t>A few hours before start-up (at least 24 hours) power up the machine in order to power the electrical resistances for heating the compressor crankcase. Each time the machine is started, these resistors are automatically disconnected.</t>
  </si>
  <si>
    <t>8.2_Tabella_procedure_avviamento_ENG.png</t>
  </si>
  <si>
    <t>8.3_schema_procedure_ENG.png</t>
  </si>
  <si>
    <t>8.3_Schema_verifica_olio_ENG.png</t>
  </si>
  <si>
    <t>8.3_Schema_verifica_collegamenti_idraulici_ENG.png</t>
  </si>
  <si>
    <t>8.3_Schema_verifica_collegamenti_elettrici_ENG.png</t>
  </si>
  <si>
    <t>8.3_Schema_primo_avviamento_ENG.png</t>
  </si>
  <si>
    <t>The daily stop is controlled by the ON / OFF button on the user interface panel. In this way, the power supply to the compressor crankcase heating elements and any antifreeze devices is guaranteed (please note that the use of antifreeze additives is prohibited).</t>
  </si>
  <si>
    <t>The inaction of the unit in winter can cause the water in the system to freeze.</t>
  </si>
  <si>
    <t>During long periods of machine downtime, the unit must be electrically isolated by acting on the main switch. It is also necessary to foresee the emptying of the entire water content in time; carry out this operation ensuring the complete emptying of all parts of the hydraulic circuit, the pump discharge and any internal and external siphons of the unit.</t>
  </si>
  <si>
    <t>The provisions of D.P.R. 74/2013, Art. 7, paragraph 5, establish that thermal systems for air conditioning and domestic hot water production must have a ‘Plant Booklet’.
The Ministerial Decree of 10 February 2014, implementing the provisions of Presidential Decree 74/2013, contains the new models of the plant logbook and inspection report to be used for all thermal systems for air conditioning and domestic hot water production from 1 June 2014.
In Chapter 4, paragraph 4, you can find the form to be filled in concerning heat pumps shown in figure 29.</t>
  </si>
  <si>
    <r>
      <t xml:space="preserve">-   </t>
    </r>
    <r>
      <rPr>
        <sz val="7"/>
        <color theme="1"/>
        <rFont val="Times New Roman"/>
        <family val="1"/>
      </rPr>
      <t xml:space="preserve"> </t>
    </r>
    <r>
      <rPr>
        <i/>
        <sz val="11"/>
        <color theme="1"/>
        <rFont val="Calibri"/>
        <family val="2"/>
      </rPr>
      <t>Heating</t>
    </r>
    <r>
      <rPr>
        <sz val="11"/>
        <color theme="1"/>
        <rFont val="Calibri"/>
        <family val="2"/>
      </rPr>
      <t>: information regarding heating performance can be found on the data sheet supplied with these manuals.</t>
    </r>
  </si>
  <si>
    <r>
      <rPr>
        <sz val="11"/>
        <color theme="0"/>
        <rFont val="Symbol"/>
        <family val="1"/>
        <charset val="2"/>
      </rPr>
      <t>******</t>
    </r>
    <r>
      <rPr>
        <sz val="11"/>
        <color theme="1"/>
        <rFont val="Symbol"/>
        <family val="1"/>
        <charset val="2"/>
      </rPr>
      <t xml:space="preserve">•         </t>
    </r>
    <r>
      <rPr>
        <i/>
        <sz val="11"/>
        <color theme="1"/>
        <rFont val="Calibri"/>
        <family val="2"/>
      </rPr>
      <t>COP</t>
    </r>
    <r>
      <rPr>
        <sz val="11"/>
        <color theme="1"/>
        <rFont val="Calibri"/>
        <family val="2"/>
      </rPr>
      <t xml:space="preserve">: enter the </t>
    </r>
    <r>
      <rPr>
        <i/>
        <sz val="11"/>
        <color theme="1"/>
        <rFont val="Calibri"/>
        <family val="2"/>
      </rPr>
      <t>COP</t>
    </r>
    <r>
      <rPr>
        <sz val="11"/>
        <color theme="1"/>
        <rFont val="Calibri"/>
        <family val="2"/>
      </rPr>
      <t xml:space="preserve"> value at the relative expected flow temperature, shown on the data sheet;</t>
    </r>
  </si>
  <si>
    <r>
      <rPr>
        <sz val="11"/>
        <color theme="0"/>
        <rFont val="Symbol"/>
        <family val="1"/>
        <charset val="2"/>
      </rPr>
      <t>******</t>
    </r>
    <r>
      <rPr>
        <sz val="11"/>
        <color theme="1"/>
        <rFont val="Symbol"/>
        <family val="1"/>
        <charset val="2"/>
      </rPr>
      <t xml:space="preserve">•         </t>
    </r>
    <r>
      <rPr>
        <i/>
        <sz val="11"/>
        <color theme="1"/>
        <rFont val="Calibri"/>
        <family val="2"/>
      </rPr>
      <t>Nominal heat output</t>
    </r>
    <r>
      <rPr>
        <sz val="11"/>
        <color theme="1"/>
        <rFont val="Calibri"/>
        <family val="2"/>
      </rPr>
      <t xml:space="preserve">: enter the value of </t>
    </r>
    <r>
      <rPr>
        <i/>
        <sz val="11"/>
        <color theme="1"/>
        <rFont val="Calibri"/>
        <family val="2"/>
      </rPr>
      <t>heat output</t>
    </r>
    <r>
      <rPr>
        <sz val="11"/>
        <color theme="1"/>
        <rFont val="Calibri"/>
        <family val="2"/>
      </rPr>
      <t xml:space="preserve"> at the relative expected flow temperature, shown on the data sheet;</t>
    </r>
  </si>
  <si>
    <r>
      <rPr>
        <sz val="11"/>
        <color theme="0"/>
        <rFont val="Symbol"/>
        <family val="1"/>
        <charset val="2"/>
      </rPr>
      <t>******</t>
    </r>
    <r>
      <rPr>
        <sz val="11"/>
        <color theme="1"/>
        <rFont val="Symbol"/>
        <family val="1"/>
        <charset val="2"/>
      </rPr>
      <t xml:space="preserve">•        </t>
    </r>
    <r>
      <rPr>
        <i/>
        <sz val="11"/>
        <color theme="1"/>
        <rFont val="Calibri"/>
        <family val="2"/>
      </rPr>
      <t>Nominal input power</t>
    </r>
    <r>
      <rPr>
        <sz val="11"/>
        <color theme="1"/>
        <rFont val="Calibri"/>
        <family val="2"/>
      </rPr>
      <t xml:space="preserve">: enter the value of </t>
    </r>
    <r>
      <rPr>
        <i/>
        <sz val="11"/>
        <color theme="1"/>
        <rFont val="Calibri"/>
        <family val="2"/>
      </rPr>
      <t>input power</t>
    </r>
    <r>
      <rPr>
        <sz val="11"/>
        <color theme="1"/>
        <rFont val="Calibri"/>
        <family val="2"/>
      </rPr>
      <t xml:space="preserve"> at the relative expected delivery temperature, shown on the data sheet.</t>
    </r>
  </si>
  <si>
    <t>-   Serial number: enter the serial number on the identification plate on the machine;
-   External source: tick the Air box in the case of a heat pump in Air version (with dry cooler), tick the Water box in the case of a machine in Water version (with well) or Ground version (with geothermal probes);
-   Refrigerant fluid: enter the refrigerant fluid used by the machine, which can be found on the identification plate on the machine (e.g.: R600a);
-   Utility-side fluid: tick the Water box;
-   Type of operation: among the three types, tick ‘compression cycle with electric or endothermic motor’;
-   Circuits No.: enter quantity 1 or quantity 2 in the case of a double-cycle machine;</t>
  </si>
  <si>
    <t>6.1_T10_RT10_ENG.png</t>
  </si>
  <si>
    <t>6.1_T10_RT10_attacchi_ENG.png</t>
  </si>
  <si>
    <t>6.1_T30_RT30_ENG.png</t>
  </si>
  <si>
    <t>6.1_T30_RT30_attacchi_ENG.png</t>
  </si>
  <si>
    <t>6.1_T60_RT60_ENG.png</t>
  </si>
  <si>
    <t>6.1_T60_RT60_attacchi_ENG.png</t>
  </si>
  <si>
    <t>6.1_T115_RT115_ENG.png</t>
  </si>
  <si>
    <t>6.1_T115_RT115_attacchi_ENG.png</t>
  </si>
  <si>
    <t>6.1_T140_ENG.png</t>
  </si>
  <si>
    <t>6.1_T250_ENG.png</t>
  </si>
  <si>
    <t>6.1_T350_ENG.png</t>
  </si>
  <si>
    <t>6.1_T250_DC_attacchi_ENG.png</t>
  </si>
  <si>
    <t>6.1_T350_DC_attacchi_ENG.png</t>
  </si>
  <si>
    <t>6.1_T350MB_DC_ENG.png</t>
  </si>
  <si>
    <t>6.1_T650_ENG.png</t>
  </si>
  <si>
    <r>
      <t>Q</t>
    </r>
    <r>
      <rPr>
        <vertAlign val="subscript"/>
        <sz val="11"/>
        <color theme="1"/>
        <rFont val="Calibri"/>
        <family val="2"/>
        <scheme val="minor"/>
      </rPr>
      <t>min</t>
    </r>
    <r>
      <rPr>
        <sz val="11"/>
        <color theme="1"/>
        <rFont val="Calibri"/>
        <family val="2"/>
        <scheme val="minor"/>
      </rPr>
      <t xml:space="preserve">  =  15 x s x (m</t>
    </r>
    <r>
      <rPr>
        <vertAlign val="subscript"/>
        <sz val="11"/>
        <color theme="1"/>
        <rFont val="Calibri"/>
        <family val="2"/>
        <scheme val="minor"/>
      </rPr>
      <t>c</t>
    </r>
    <r>
      <rPr>
        <sz val="11"/>
        <color theme="1"/>
        <rFont val="Calibri"/>
        <family val="2"/>
        <scheme val="minor"/>
      </rPr>
      <t>/ρ) ≥ 2 m</t>
    </r>
    <r>
      <rPr>
        <vertAlign val="superscript"/>
        <sz val="11"/>
        <color theme="1"/>
        <rFont val="Calibri"/>
        <family val="2"/>
        <scheme val="minor"/>
      </rPr>
      <t>3</t>
    </r>
    <r>
      <rPr>
        <sz val="11"/>
        <color theme="1"/>
        <rFont val="Calibri"/>
        <family val="2"/>
        <scheme val="minor"/>
      </rPr>
      <t>/h</t>
    </r>
  </si>
  <si>
    <t>No particular prescriptions other than those present in the relevant technical sheet.</t>
  </si>
  <si>
    <t>7.9_Pericolo_generico_elettrico_3_ENG.png</t>
  </si>
  <si>
    <r>
      <t xml:space="preserve">-   Cooling: information on cooling performance can be found on the data sheet supplied with these manuals, under the heading Cooling.
</t>
    </r>
    <r>
      <rPr>
        <sz val="11"/>
        <color theme="0"/>
        <rFont val="Calibri"/>
        <family val="2"/>
        <scheme val="minor"/>
      </rPr>
      <t>******</t>
    </r>
    <r>
      <rPr>
        <sz val="11"/>
        <color theme="1"/>
        <rFont val="Calibri"/>
        <family val="2"/>
        <scheme val="minor"/>
      </rPr>
      <t xml:space="preserve">•         EER: enter the EER value shown on the board;
</t>
    </r>
    <r>
      <rPr>
        <sz val="11"/>
        <color theme="0"/>
        <rFont val="Calibri"/>
        <family val="2"/>
        <scheme val="minor"/>
      </rPr>
      <t>******</t>
    </r>
    <r>
      <rPr>
        <sz val="11"/>
        <color theme="1"/>
        <rFont val="Calibri"/>
        <family val="2"/>
        <scheme val="minor"/>
      </rPr>
      <t xml:space="preserve">•         Nominal cooling capacity: enter the value of cooling capacity given on the card;
</t>
    </r>
    <r>
      <rPr>
        <sz val="11"/>
        <color theme="0"/>
        <rFont val="Calibri"/>
        <family val="2"/>
        <scheme val="minor"/>
      </rPr>
      <t>******</t>
    </r>
    <r>
      <rPr>
        <sz val="11"/>
        <color theme="1"/>
        <rFont val="Calibri"/>
        <family val="2"/>
        <scheme val="minor"/>
      </rPr>
      <t>•         Nominal input power: enter the value of electrical input power given on the data sheet;</t>
    </r>
  </si>
  <si>
    <r>
      <t>Essendo: 
Q</t>
    </r>
    <r>
      <rPr>
        <vertAlign val="subscript"/>
        <sz val="11"/>
        <color theme="1"/>
        <rFont val="Calibri"/>
        <family val="2"/>
        <scheme val="minor"/>
      </rPr>
      <t>min</t>
    </r>
    <r>
      <rPr>
        <sz val="11"/>
        <color theme="1"/>
        <rFont val="Calibri"/>
        <family val="2"/>
        <scheme val="minor"/>
      </rPr>
      <t xml:space="preserve">     è la portata di ventilazione [m</t>
    </r>
    <r>
      <rPr>
        <vertAlign val="superscript"/>
        <sz val="11"/>
        <color theme="1"/>
        <rFont val="Calibri"/>
        <family val="2"/>
        <scheme val="minor"/>
      </rPr>
      <t>3</t>
    </r>
    <r>
      <rPr>
        <sz val="11"/>
        <color theme="1"/>
        <rFont val="Calibri"/>
        <family val="2"/>
        <scheme val="minor"/>
      </rPr>
      <t>/h]
15            è la costante di conversione di 4 minuti di % di perdita rispetto ad una perdita consistente [1/h]
s               è il fattore di sicurezza (pari a 4)
m</t>
    </r>
    <r>
      <rPr>
        <vertAlign val="subscript"/>
        <sz val="11"/>
        <color theme="1"/>
        <rFont val="Calibri"/>
        <family val="2"/>
        <scheme val="minor"/>
      </rPr>
      <t>c</t>
    </r>
    <r>
      <rPr>
        <sz val="11"/>
        <color theme="1"/>
        <rFont val="Calibri"/>
        <family val="2"/>
        <scheme val="minor"/>
      </rPr>
      <t xml:space="preserve">           è la carica di refrigerante [kg]
ρ              è la densità del refrigerante a pressione atmosferica e 25°C [kg/m</t>
    </r>
    <r>
      <rPr>
        <vertAlign val="superscript"/>
        <sz val="11"/>
        <color theme="1"/>
        <rFont val="Calibri"/>
        <family val="2"/>
        <scheme val="minor"/>
      </rPr>
      <t>3</t>
    </r>
    <r>
      <rPr>
        <sz val="11"/>
        <color theme="1"/>
        <rFont val="Calibri"/>
        <family val="2"/>
        <scheme val="minor"/>
      </rPr>
      <t>]</t>
    </r>
  </si>
  <si>
    <t xml:space="preserve"> [g/m^3]</t>
  </si>
  <si>
    <t>Valore da preimpostare</t>
  </si>
  <si>
    <r>
      <t>Dove:
V</t>
    </r>
    <r>
      <rPr>
        <sz val="11"/>
        <color theme="1"/>
        <rFont val="Calibri"/>
        <family val="2"/>
      </rPr>
      <t xml:space="preserve">  </t>
    </r>
    <r>
      <rPr>
        <sz val="11"/>
        <color theme="1"/>
        <rFont val="Calibri"/>
        <family val="2"/>
        <scheme val="minor"/>
      </rPr>
      <t xml:space="preserve">          è la portata d’aria in m</t>
    </r>
    <r>
      <rPr>
        <vertAlign val="superscript"/>
        <sz val="11"/>
        <color theme="1"/>
        <rFont val="Calibri"/>
        <family val="2"/>
        <scheme val="minor"/>
      </rPr>
      <t>3</t>
    </r>
    <r>
      <rPr>
        <sz val="11"/>
        <color theme="1"/>
        <rFont val="Calibri"/>
        <family val="2"/>
        <scheme val="minor"/>
      </rPr>
      <t>/s
m           è la carica di refrigerante in kg, nel sistema di refrigerazione con il massimo carico, ogni 
                parte del quale è posizionata nella sala macchine
0,014     è un fattore di conversione con unità in m</t>
    </r>
    <r>
      <rPr>
        <vertAlign val="superscript"/>
        <sz val="11"/>
        <color theme="1"/>
        <rFont val="Calibri"/>
        <family val="2"/>
        <scheme val="minor"/>
      </rPr>
      <t>3</t>
    </r>
    <r>
      <rPr>
        <sz val="11"/>
        <color theme="1"/>
        <rFont val="Calibri"/>
        <family val="2"/>
        <scheme val="minor"/>
      </rPr>
      <t>/s·kg</t>
    </r>
    <r>
      <rPr>
        <vertAlign val="superscript"/>
        <sz val="11"/>
        <color theme="1"/>
        <rFont val="Calibri"/>
        <family val="2"/>
        <scheme val="minor"/>
      </rPr>
      <t xml:space="preserve">2/3
</t>
    </r>
    <r>
      <rPr>
        <sz val="11"/>
        <color theme="1"/>
        <rFont val="Calibri"/>
        <family val="2"/>
        <scheme val="minor"/>
      </rPr>
      <t xml:space="preserve">In ogni caso, un sistema di ventilazione di emergenza con 15 ricambi ora è sufficiente.
Riguardo alle nostre macchine, le portate minime da garantire sono le seguenti: </t>
    </r>
  </si>
  <si>
    <r>
      <t>V   =   0,014∙m</t>
    </r>
    <r>
      <rPr>
        <vertAlign val="superscript"/>
        <sz val="11"/>
        <color theme="1"/>
        <rFont val="Calibri"/>
        <family val="2"/>
        <scheme val="minor"/>
      </rPr>
      <t>2/3</t>
    </r>
  </si>
  <si>
    <t>background.jpg</t>
  </si>
  <si>
    <t>Title orientation</t>
  </si>
  <si>
    <t>↑↓</t>
  </si>
  <si>
    <t>←→</t>
  </si>
  <si>
    <t>Machine name style</t>
  </si>
  <si>
    <t>Size and Color</t>
  </si>
  <si>
    <t>Offset from the title</t>
  </si>
  <si>
    <t>Offset from top of the page</t>
  </si>
  <si>
    <t>Machine Name</t>
  </si>
  <si>
    <t>1. Premessa</t>
  </si>
  <si>
    <t>1. Foreword</t>
  </si>
  <si>
    <t>2. Garanzia</t>
  </si>
  <si>
    <t>2. Warranty</t>
  </si>
  <si>
    <t>3. Norme generali di sicurezza</t>
  </si>
  <si>
    <t>3. General safety rules</t>
  </si>
  <si>
    <t>3.1. Precauzioni e avvertenze</t>
  </si>
  <si>
    <t>3.1. Precautions and warnings</t>
  </si>
  <si>
    <t>3.1.1. Avvertenze su sostanze potenzialmente tossiche</t>
  </si>
  <si>
    <t>3.1.1. Warnings about potentially toxic substances</t>
  </si>
  <si>
    <t>3.1.2. Identificazione dei tipi di fluido frigorigeno impiegato</t>
  </si>
  <si>
    <t>3.1.2. Identification of the types of refrigerant used</t>
  </si>
  <si>
    <t>3.1.3. Identifying the type of oil used</t>
  </si>
  <si>
    <t>3.1.3. Identificazione del tipo di olio impiegato</t>
  </si>
  <si>
    <t>3.1.4. Identificazione del tipo di liquido antigelo impiegato</t>
  </si>
  <si>
    <t>3.1.4. Identifying the type of antifreeze used</t>
  </si>
  <si>
    <t>3.1.5. Rischi residui e pericoli che non possono essere eliminati</t>
  </si>
  <si>
    <t>3.1.5. Residual risks and dangers that cannot be eliminated</t>
  </si>
  <si>
    <t>4. Fasi per l'installazione</t>
  </si>
  <si>
    <t>4. Installation steps</t>
  </si>
  <si>
    <t>4.2. Disimballaggio</t>
  </si>
  <si>
    <t>4.1. Trasporto</t>
  </si>
  <si>
    <t>4.2. Unpacking</t>
  </si>
  <si>
    <t xml:space="preserve"> 4.1. Transport</t>
  </si>
  <si>
    <t>4.3. Movimentazione</t>
  </si>
  <si>
    <t>4.3. HANDLING</t>
  </si>
  <si>
    <t>4.3.1. Unità principale</t>
  </si>
  <si>
    <t xml:space="preserve">4.3.1. Main unit </t>
  </si>
  <si>
    <t xml:space="preserve">4.3.2. Unità esterna </t>
  </si>
  <si>
    <t xml:space="preserve">4.3.2. External unit </t>
  </si>
  <si>
    <t>5. Luogo di installazione</t>
  </si>
  <si>
    <t>5. Place of installation</t>
  </si>
  <si>
    <t>5.1. Requirements common to any Refrigerator and/or Heat Punp Unit</t>
  </si>
  <si>
    <t xml:space="preserve">5.1. Prescrizioni comuni </t>
  </si>
  <si>
    <t>5.1.1. Rilevatori (Rif. EN 378-3:2016 par. 9)</t>
  </si>
  <si>
    <t>5.1.1. DETECTORS (Ref. EN 378-3: 2016 par. 9)</t>
  </si>
  <si>
    <t>5.1.2. Impianti Elettrici (Rif. EN 378-3:2016 par. 7)</t>
  </si>
  <si>
    <t>5.1.2. ELECTRICAL SYSTEMS (Ref. EN 378-3: 2016 par. 7)</t>
  </si>
  <si>
    <t>5.1.3. Allarmi di sicurezza (Rif. EN 378-3:2017 par. 8)</t>
  </si>
  <si>
    <t>5.1.3. SAFETY ALARMS (Ref. EN 378-3: 2016 par. 8)</t>
  </si>
  <si>
    <t>5.1.4. Installazione all'aperto</t>
  </si>
  <si>
    <t>5.1.4. OUTDOOR INSTALLATION</t>
  </si>
  <si>
    <t>5.1.5. Installazione in sale macchine</t>
  </si>
  <si>
    <t>5.1.5. INSTALLATION IN MACHINERY ROOMS</t>
  </si>
  <si>
    <t>5.1.6. Installazione in spazi occupati</t>
  </si>
  <si>
    <t>5.1.6. INSTALLATION IN OCCUPIED SPACES</t>
  </si>
  <si>
    <t>5.1.7. Installazione in luoghi chiusi ventilati</t>
  </si>
  <si>
    <t>5.1.7. INSTALLATION IN CLOSED VENTILATED ENCLOSURES</t>
  </si>
  <si>
    <t>5.2 Prescrizioni relativi all'uso di refrigeranti</t>
  </si>
  <si>
    <t>5.2 Requirements relating to the use of r290 and r600a refrigerants</t>
  </si>
  <si>
    <t>5.2.1. Protezione contro i rischi incendio ed esplosioni (Rif. EN 378-2:2016 par. 6.12.14)</t>
  </si>
  <si>
    <t>5.2.1. Protection against fire and explosion risks (Ref. EN 378-2: 2016 par. 6.12.14)</t>
  </si>
  <si>
    <t>5.2.2. Rilevatori (Rif. EN 378-3:2016 par. 9)</t>
  </si>
  <si>
    <t>5.2.2. DETECTORS (Ref. EN 378-3: 2016 par. 9)</t>
  </si>
  <si>
    <t>5.2.3 Installazione in sale macchine</t>
  </si>
  <si>
    <t>5.2.3  INSTALLATION IN MACHINERY ROOMS</t>
  </si>
  <si>
    <t>5.2.4. INSTALLATION OF HEAT PUMPS USING R290 AND R600a IN CLOSED VENTILATED ENCLORURES</t>
  </si>
  <si>
    <t>5.2.4. Installazione di Pompe di Calore utilizzanti R290 ed R600a in involucri ventilati</t>
  </si>
  <si>
    <t>6. Dimensioni e Ingombri</t>
  </si>
  <si>
    <t>6. Dimensions and overall dimensions</t>
  </si>
  <si>
    <t>6.1 Unità Principale</t>
  </si>
  <si>
    <t>6.1 Main Unit</t>
  </si>
  <si>
    <t xml:space="preserve">6.2 Unità esterna </t>
  </si>
  <si>
    <t xml:space="preserve">6.2 Outdoor unit </t>
  </si>
  <si>
    <t>6.4 Rumorisità</t>
  </si>
  <si>
    <t>6.4 Noise</t>
  </si>
  <si>
    <t>6.5. Spazi tecnici di rispetto</t>
  </si>
  <si>
    <t>6.5. TECHNICAL AREAS OF RESPECT</t>
  </si>
  <si>
    <t>6.5.1. Unità Principale</t>
  </si>
  <si>
    <t>6.5.1. Main unit</t>
  </si>
  <si>
    <t xml:space="preserve">6.5.2. Outdoor unit </t>
  </si>
  <si>
    <t>7. Specifiche di installazione</t>
  </si>
  <si>
    <t>7. Installation specifications</t>
  </si>
  <si>
    <t>7.1. Collegamento Evaporatore</t>
  </si>
  <si>
    <t>7.1. Evaporator connection</t>
  </si>
  <si>
    <t>7.2. Collegamento Condensatore HT</t>
  </si>
  <si>
    <t>7.2. High temperature condensator connection</t>
  </si>
  <si>
    <t xml:space="preserve">7.4. Collegamento Condensatore HT - Consendatore LT </t>
  </si>
  <si>
    <t xml:space="preserve">7.6. Connection to the external unit </t>
  </si>
  <si>
    <t>7.7. Installazione altri accessori</t>
  </si>
  <si>
    <t>7.7. Installation of other accessories</t>
  </si>
  <si>
    <t>7.7.2 Pompa pozzo</t>
  </si>
  <si>
    <t>7.7.2 Well pump</t>
  </si>
  <si>
    <t>7.7.3. Sensori pozzo completi di cavo</t>
  </si>
  <si>
    <t>7.7.3. Shaft sensors complete with cable</t>
  </si>
  <si>
    <t>7.7.4. Inverter pompa pozzo</t>
  </si>
  <si>
    <r>
      <rPr>
        <b/>
        <sz val="14"/>
        <color rgb="FF15A8DD"/>
        <rFont val="Times New Roman"/>
        <family val="1"/>
      </rPr>
      <t xml:space="preserve"> 7.7.4. </t>
    </r>
    <r>
      <rPr>
        <b/>
        <sz val="14"/>
        <color rgb="FF15A8DD"/>
        <rFont val="Calibri"/>
        <family val="2"/>
        <scheme val="minor"/>
      </rPr>
      <t>Well pump inverter</t>
    </r>
  </si>
  <si>
    <t>7.7.5. Contatore acqua di falda</t>
  </si>
  <si>
    <t>7.7.5. Groundwater meter</t>
  </si>
  <si>
    <t>7.7.6. Scambiatore disaccoppiamento</t>
  </si>
  <si>
    <t>7.7.6. Decoupling exchanger</t>
  </si>
  <si>
    <t>7.7.7. Circolatore</t>
  </si>
  <si>
    <t>7.7.7. Circulator</t>
  </si>
  <si>
    <t>7.7.8. Sonda e porta sonda</t>
  </si>
  <si>
    <t>7.7.8. Probe and probe holder</t>
  </si>
  <si>
    <t>7.7.9. Supporti antivibranti</t>
  </si>
  <si>
    <t>7.7.9. Antivibration mounts</t>
  </si>
  <si>
    <t>7.7.10. Giunti antivibranti</t>
  </si>
  <si>
    <t>7.7.10. Antivibration joints</t>
  </si>
  <si>
    <t>7.7.11. Flussostati</t>
  </si>
  <si>
    <t>7.7.11. Machine flow switches</t>
  </si>
  <si>
    <t xml:space="preserve">7.7.12. Vortex flow meters </t>
  </si>
  <si>
    <t xml:space="preserve">7.7.13. Calorimetric flow meters </t>
  </si>
  <si>
    <t>7.7.14. Kit collettore idraulico</t>
  </si>
  <si>
    <t>7.7.14. Hydraulic manifold kit</t>
  </si>
  <si>
    <t>7.7.15. Serbatoio inerziale coibentato</t>
  </si>
  <si>
    <t>7.7.15. Insulated inertial tank</t>
  </si>
  <si>
    <t>7.7.16. Serbatoio ACS doppia serpentina</t>
  </si>
  <si>
    <t>7.7.16. Double coil DHW tank</t>
  </si>
  <si>
    <t>7.7.17. Sonda umidità esterna</t>
  </si>
  <si>
    <t>7.7.17. External humidity probe</t>
  </si>
  <si>
    <t>7.7.18. Sonda temperatura ambiente</t>
  </si>
  <si>
    <t>7.7.18. Ambient temperature probe</t>
  </si>
  <si>
    <t>7.7.19. Sonda temperatura e umidità ambiente</t>
  </si>
  <si>
    <t>7.7.19. Ambient temperature and humidity probe</t>
  </si>
  <si>
    <t>7.7.20 Disaeratore</t>
  </si>
  <si>
    <t>7.7.20. Deaerator</t>
  </si>
  <si>
    <t>7.8. Collegamenti idraulici</t>
  </si>
  <si>
    <t>7.8. Hydraulic connections</t>
  </si>
  <si>
    <t>7.8.1. Collegamento all’impianto</t>
  </si>
  <si>
    <t>7.8.1. Connection to the plant</t>
  </si>
  <si>
    <t>7.8.2. Installazione e gestione pompa utenza (esterna all’unità)</t>
  </si>
  <si>
    <t>7.8.2. Installation and management of the user pump (external to the unit)</t>
  </si>
  <si>
    <t>7.8.3. Protezione dell’unità dal gelo</t>
  </si>
  <si>
    <t>7.8.3. Protection of the unit from frost</t>
  </si>
  <si>
    <t>7.8.4. Utilizzo di soluzioni incongelabili</t>
  </si>
  <si>
    <t>7.8.4. Use of brine solutions</t>
  </si>
  <si>
    <t>7.9. Collegamenti elettrici</t>
  </si>
  <si>
    <t>7.9. Electrical connections</t>
  </si>
  <si>
    <t>7.9.1. Gestione remota mediante predisposizione dei collegamenti a cura dell’installatore</t>
  </si>
  <si>
    <t>7.9.1. Remote management by setting up the connections by the installer</t>
  </si>
  <si>
    <t>7.9.2. Abilitazione ON/OFF remoto (CR) e Doppio set-point (DS)</t>
  </si>
  <si>
    <t>7.9.2. Remote ON / OFF (CR) and Double set-point (DS) enabling</t>
  </si>
  <si>
    <t>7.9.3. Dettaglio collegamenti accessori</t>
  </si>
  <si>
    <t>7.9.3. Details of the electrical connections for the additional components</t>
  </si>
  <si>
    <t>7.10. Comandi</t>
  </si>
  <si>
    <t>7.10. Commands</t>
  </si>
  <si>
    <t>7.10.2. Pressostati di alta e di bassa pressione</t>
  </si>
  <si>
    <t>7.10.1. Sezionatore quadri polare</t>
  </si>
  <si>
    <t>7.10.1. Four-pole main switch</t>
  </si>
  <si>
    <t>7.10.3. Interruttori automatici</t>
  </si>
  <si>
    <t>7.10.3. Automatic switches</t>
  </si>
  <si>
    <t>7.10.2. High and low pressure switches</t>
  </si>
  <si>
    <t>7.10.4. Tastiera di comando installata a bordo macchina (Versione Base)</t>
  </si>
  <si>
    <t>7.10.4. Control keyboard installed on the machine (Basic version)</t>
  </si>
  <si>
    <t>7.10.5. Info</t>
  </si>
  <si>
    <t>8. Avviamento e Riavvio dopo lunga inattività</t>
  </si>
  <si>
    <t>8. Start-up and restart after long inactivity</t>
  </si>
  <si>
    <t>8.1. Messa in funzione</t>
  </si>
  <si>
    <t>8.1. Start-up</t>
  </si>
  <si>
    <t xml:space="preserve">8.1.1.  Set di taratura componenti di sicurezza </t>
  </si>
  <si>
    <t>8.1.1.  Safety components calibration set</t>
  </si>
  <si>
    <t>8.2. Avviamento e Riavvio dopo lunga inattività</t>
  </si>
  <si>
    <t>8.2. Start-up and restart after long inactivity</t>
  </si>
  <si>
    <t>8.3. Procedura di Avviamento</t>
  </si>
  <si>
    <t>8.3. Start-up procedure</t>
  </si>
  <si>
    <t xml:space="preserve">8.3.1. Condizioni generali dell’unità </t>
  </si>
  <si>
    <t xml:space="preserve">8.3.1. General conditions of the unit </t>
  </si>
  <si>
    <t>8.3.2. Verifica del livello olio compressori</t>
  </si>
  <si>
    <t>8.3.2. Checking the compressor oil level</t>
  </si>
  <si>
    <t>8.3.3. Verifica dei collegamenti idraulici</t>
  </si>
  <si>
    <t>8.3.3. Checking the hydraulic connections</t>
  </si>
  <si>
    <t>8.3.4. Verifica dei collegamenti elettrici</t>
  </si>
  <si>
    <t>8.3.4. Checking the electrical connections</t>
  </si>
  <si>
    <t xml:space="preserve">8.3.5. Primo avviamento </t>
  </si>
  <si>
    <t xml:space="preserve">8.3.5. First start-up </t>
  </si>
  <si>
    <t xml:space="preserve">9. Sosta giornaliera e prolungata </t>
  </si>
  <si>
    <t>9. Daily and prolonged downtime</t>
  </si>
  <si>
    <t>10. Compilazione libretto impianto</t>
  </si>
  <si>
    <t>10. Compilation of the system booklet</t>
  </si>
  <si>
    <t>Cover Picture</t>
  </si>
  <si>
    <t>Footer</t>
  </si>
  <si>
    <t>Codice pezzettone</t>
  </si>
  <si>
    <t xml:space="preserve">Valore da preimpostare </t>
  </si>
  <si>
    <t>[g/m^3]</t>
  </si>
  <si>
    <r>
      <t>Where:
V           is the air flow in m</t>
    </r>
    <r>
      <rPr>
        <vertAlign val="superscript"/>
        <sz val="11"/>
        <color theme="1"/>
        <rFont val="Calibri"/>
        <family val="2"/>
        <scheme val="minor"/>
      </rPr>
      <t>3</t>
    </r>
    <r>
      <rPr>
        <sz val="11"/>
        <color theme="1"/>
        <rFont val="Calibri"/>
        <family val="2"/>
        <scheme val="minor"/>
      </rPr>
      <t>/s
m          is the refrigerant charge in kg, in the refrigeration system with the maximum load, each part of which is located in the engine room
0,014   is a conversion factor with unit in m</t>
    </r>
    <r>
      <rPr>
        <vertAlign val="superscript"/>
        <sz val="11"/>
        <color theme="1"/>
        <rFont val="Calibri"/>
        <family val="2"/>
        <scheme val="minor"/>
      </rPr>
      <t>3</t>
    </r>
    <r>
      <rPr>
        <sz val="11"/>
        <color theme="1"/>
        <rFont val="Calibri"/>
        <family val="2"/>
        <scheme val="minor"/>
      </rPr>
      <t>/s·kg</t>
    </r>
    <r>
      <rPr>
        <vertAlign val="superscript"/>
        <sz val="11"/>
        <color theme="1"/>
        <rFont val="Calibri"/>
        <family val="2"/>
        <scheme val="minor"/>
      </rPr>
      <t>2/3</t>
    </r>
    <r>
      <rPr>
        <sz val="11"/>
        <color theme="1"/>
        <rFont val="Calibri"/>
        <family val="2"/>
        <scheme val="minor"/>
      </rPr>
      <t xml:space="preserve">
In any case, an emergency ventilation system with 15 changes is now sufficient. Regarding TEON machines, the minimum capacities to be guaranteed are the following: </t>
    </r>
  </si>
  <si>
    <t>M.8.3.10 C_20250917_Manuale_installazione_Rev_27_FPR</t>
  </si>
  <si>
    <t>M.8.3.10_C_20250917_Installation_manual_Rev_27_FPR</t>
  </si>
  <si>
    <t>Professional</t>
  </si>
  <si>
    <t>Residential</t>
  </si>
  <si>
    <t>Double stage</t>
  </si>
  <si>
    <t>7.9_collegamanti_elettrici_T350MBDC.png</t>
  </si>
  <si>
    <t>Grandi (oltre T140, eccetto T350MB-DC)</t>
  </si>
  <si>
    <t>Le staffe in ferro amovibili utilizzate per la movimentazione devono essere smontate dopo il montaggio dei supporti antivibranti.</t>
  </si>
  <si>
    <t>Il pallet per il trasporto e movimentazione del Dry Cooler, deve essere smaltito secondo quanto riportato dalla legislazione vigente.</t>
  </si>
  <si>
    <t>Sollevare l’unità di pochi centimetri e, solo dopo aver verificato la stabilità del carico, movimentare l’unità con cautela fino al luogo di installazione. Durante il sollevamento e la movimentazione verificare che l’unità rimanga sempre verticale.Durante la movimentazione avere cura di non interporre parti del corpo onde evitare il rischio di eventuali schiacciamenti o urti derivanti da cadute o movimenti repentini ed accidentali del carico. Nel caso in cui la parte retrostante vada appoggiata a parete, prima di avvicinarla alla stessa occorre montare il pannello retrostante avvitando gli appositi dadi di serraggio. Una volta che la macchina è stata ubicata nella posizione definitiva, registrare i supporti antivibranti e mettere in bolla la macchina.Per la movimentazione della macchina è necessario collocare i grilli di sollevamento nelle apposite staffe previo inserimento delle cinghie. Assicurarsi che i fermi dei grilli siano completamente avvitati</t>
  </si>
  <si>
    <t>Per la movimentazione della macchina è necessario collocare i grilli di sollevamento nelle apposite staffe previo inserimento delle cinghie. Assicurarsi che i fermi dei grilli siano completamente avvitati</t>
  </si>
  <si>
    <t xml:space="preserve">Per la movimentazione della macchina è necessario collocare i grilli di sollevamento nelle apposite staffe previo inserimento delle cinghie. Assicurarsi che i fermi dei grilli siano completamente avvitati. Per tutti i quattro angoli della macchina sono presenti una staffa in basso e un’asola in alto. Le fasce di sollevamento, lunghe 6 m e adatte a sollevare carichi di almeno 2000 kg ciascuna, devono essere agganciate alle asole attraverso i grilli e passare attraverso le corrispondenti asole (tra asola e corda, è possibile inserire uno spessore gommato o di cartone per evitare che lo sfregamento tra lo spigolo interno dell’asola e la corda danneggi la corda stessa). Effettuare il sollevamento della macchina solo dopo aver fatto passare le fasce correttamente attraverso le asole come mostrato nelle seguenti figure e porre particolare attenzione ai dettagli 3 e 4: </t>
  </si>
  <si>
    <t>4.3.1. Sollevamento T350MBDC.png</t>
  </si>
  <si>
    <t>To move the machine, place the lifting shackles in the appropriate brackets after inserting the straps. Make sure the shackle locks are fully tightened. There is a bracket at the bottom and a slot at the top for all four corners of the machine. The lifting straps, 6 m long and suitable for lifting loads of at least 2000 kg each, must be hooked to the slots via the shackles and passed through the corresponding slots (a rubber or cardboard spacer can be inserted between the slot and the rope to prevent damage from rubbing between the inner edge of the slot and the rope). Lift the machine only after passing the straps correctly through the slots as shown in the following figures, paying particular attention to details 3 and 4:</t>
  </si>
  <si>
    <t xml:space="preserve">6.5.2. Unità Esterna </t>
  </si>
  <si>
    <t xml:space="preserve">7.4. Condensator HT - Condensator LT Connection </t>
  </si>
  <si>
    <t>7.6. Collegamento unità esterna</t>
  </si>
  <si>
    <t>7.7.12. Flussimetri vortex</t>
  </si>
  <si>
    <t>7.7.13. Flussimetri calorimetrici</t>
  </si>
  <si>
    <t>Nello schema sono presentati i collegamenti elettrici con i dry cooler.</t>
  </si>
  <si>
    <t>In the following figure there are the electrical connections with the dry cooler.</t>
  </si>
  <si>
    <t>T70T140T250</t>
  </si>
  <si>
    <t xml:space="preserve">-   Valvola 3 vie: utilizzare il relé interno quadro elettrico dell’utente con un contatto normalmente aperto collegato all’ACS e l’altro normalmente chiuso collegato alla produzione termica. Quando il relé riceve il segnale della chiusura (cavo n.75209* dal quadro elettrico della pompa di calore), inizia la produzione dell’ACS. Alimentazione dal quadro elettrico dell’utente con il cavo comune della valvola.
-   Termostato ad immersione per ACS: dal quadro elettrico della pompa di calore, si collegano i segnali n.25734 e n.70110.
</t>
  </si>
  <si>
    <t xml:space="preserve">-   3-way valve: using the relay from the user’s distribution board with a normally open contact connected to the DHW, and normally closed one connected to the thermal production. When the relay receives a signal for the closure (cable n.75209* from the heat pump distribution board) the production of the DHW starts. Supply to be provided from the user’s distribution board. 
-   Thermostat immersed in DHW: connect the signals n.70110 and n.25734 from the heat pump distribution board.
</t>
  </si>
  <si>
    <t>ATTENTION: use the signal n.75522 instead of n.75209.C520</t>
  </si>
  <si>
    <t>NOTA BENE: usare il segnale n.75522 anziché n.75209.</t>
  </si>
  <si>
    <r>
      <t xml:space="preserve">Nel prosieguo sarà specificato come reperire le informazioni richieste dal Libretto Impianto:
-   </t>
    </r>
    <r>
      <rPr>
        <i/>
        <sz val="11"/>
        <color theme="1"/>
        <rFont val="Calibri"/>
        <family val="2"/>
        <scheme val="minor"/>
      </rPr>
      <t>Data di installazione</t>
    </r>
    <r>
      <rPr>
        <sz val="11"/>
        <color theme="1"/>
        <rFont val="Calibri"/>
        <family val="2"/>
        <scheme val="minor"/>
      </rPr>
      <t xml:space="preserve">: inserire la data di completamento dei lavori di installazione;
-   </t>
    </r>
    <r>
      <rPr>
        <i/>
        <sz val="11"/>
        <color theme="1"/>
        <rFont val="Calibri"/>
        <family val="2"/>
        <scheme val="minor"/>
      </rPr>
      <t>Data di dismissione</t>
    </r>
    <r>
      <rPr>
        <sz val="11"/>
        <color theme="1"/>
        <rFont val="Calibri"/>
        <family val="2"/>
        <scheme val="minor"/>
      </rPr>
      <t xml:space="preserve">: inserire la data di completamento dei lavori di dismissione, una volta che la pompa di calore avrà terminato il suo ciclo di vita;
-   </t>
    </r>
    <r>
      <rPr>
        <i/>
        <sz val="11"/>
        <color theme="1"/>
        <rFont val="Calibri"/>
        <family val="2"/>
        <scheme val="minor"/>
      </rPr>
      <t>Fabbricante</t>
    </r>
    <r>
      <rPr>
        <sz val="11"/>
        <color theme="1"/>
        <rFont val="Calibri"/>
        <family val="2"/>
        <scheme val="minor"/>
      </rPr>
      <t xml:space="preserve">: Teon Srl;
-  </t>
    </r>
    <r>
      <rPr>
        <i/>
        <sz val="11"/>
        <color theme="1"/>
        <rFont val="Calibri"/>
        <family val="2"/>
        <scheme val="minor"/>
      </rPr>
      <t xml:space="preserve"> Modello</t>
    </r>
    <r>
      <rPr>
        <sz val="11"/>
        <color theme="1"/>
        <rFont val="Calibri"/>
        <family val="2"/>
        <scheme val="minor"/>
      </rPr>
      <t>: inserire il modello della macchina</t>
    </r>
  </si>
  <si>
    <t xml:space="preserve">In the following, it will be specified how to find the information required by the Plant Booklet:
-   Installation date: enter the date on which the installation work was completed;
-   Decommissioning date: enter the date of completion of the decommissioning work, once the heat pump has completed its life cycle;
-   Manufacturer: Teon Srl;
-   Model: enter the model of the machine
</t>
  </si>
  <si>
    <t>Figura 4.1: lifting hooks</t>
  </si>
  <si>
    <t>Figura 4.1: ganci di sollevamento</t>
  </si>
  <si>
    <t>Figura 4.2: recycled wood boxes</t>
  </si>
  <si>
    <t>Figura 4.2: cassoni in legno riciclato</t>
  </si>
  <si>
    <t>Figura 4.3.1a: Movimentazione</t>
  </si>
  <si>
    <t>Figura 4.3.1b: sollevamento e particolari staffa e grillo</t>
  </si>
  <si>
    <t>Figure 4.3.1a: Handling</t>
  </si>
  <si>
    <t>Figure 4.3.1b: Lifting and details of the bracket and shackle</t>
  </si>
  <si>
    <t>Figura 4.3.1c: sollevamento T350MB-DC</t>
  </si>
  <si>
    <t>Figure 4.3.1c: T350MB-DC lifting</t>
  </si>
  <si>
    <t>Figura 4.3.2: Unità esterna</t>
  </si>
  <si>
    <t>Figure 4.3.2: External unit</t>
  </si>
  <si>
    <t>4.3.2_Unità_esterna.png</t>
  </si>
  <si>
    <t>The places of installation are divided into the following categories:
-	Outdoors (above ground or below the ground level)
-	In closed technical rooms dedicated to the system defined as "engine rooms"
-	In closed rooms normally frequented even by unauthorized persons defined as "occupied rooms"
-	In ventilated enclosures</t>
  </si>
  <si>
    <t>I luoghi di installazioni vengono suddivisi nelle seguenti categorie:
-	All’aperto (fuori terra o a disotto del piano campagna)
-	In locali tecnici chiusi dedicati all’impianto definiti “sale macchine”
-	In locali chiusi normalmente frequentati anche da persone non autorizzate definiti “locali occupati”
-	In involucri ventilati</t>
  </si>
  <si>
    <t>Tabella 6.2: Dimensioni e pesi unità esterna</t>
  </si>
  <si>
    <t xml:space="preserve">Table 6.2: External unit dimensions and weights </t>
  </si>
  <si>
    <t>Figura 6.5.1: Distanze di rispetto unità principale</t>
  </si>
  <si>
    <t>Figure 6.5.1: Distances of respect of the main unit</t>
  </si>
  <si>
    <t>Tabella 6.5.1: Distanze di rispetto unità principale</t>
  </si>
  <si>
    <t>Table 6.5.1: Distances of respect of the main unit</t>
  </si>
  <si>
    <t>Figura 6.5.2: Distanze di rispetto unità secondaria</t>
  </si>
  <si>
    <t>Figure 6.5.2: Distances of respect of the outdoor unit</t>
  </si>
  <si>
    <t>Tabella 6.5.2: Distanze di rispetto unità secondaria</t>
  </si>
  <si>
    <t>Table 6.5.2: Distances of respect of the outdoor unit</t>
  </si>
  <si>
    <t>Figura 7.1: Collegamento all'evaporatore</t>
  </si>
  <si>
    <t>Figure 7.1: Connections to the evaporator</t>
  </si>
  <si>
    <t>Figura 7.2: Collegamento al condensatore HT</t>
  </si>
  <si>
    <t>Figure 7.2: Connections to the condenser HT</t>
  </si>
  <si>
    <t>Figura 7.3: Collegamento al condensatore LT</t>
  </si>
  <si>
    <t>Figure 7.3: Connections to the condenser LT</t>
  </si>
  <si>
    <t>Figura 7.4: Collegamento condensatore HT - condensatore LT</t>
  </si>
  <si>
    <t>Figure 7.4: Condenser LT – condenser HT connections</t>
  </si>
  <si>
    <t>Figura 7.6: Schema di collegamento unità esterna</t>
  </si>
  <si>
    <t>Figure 7.6: Outdoor unit connection diagram</t>
  </si>
  <si>
    <t>Figura 7.7.12: Flussimetri vortex</t>
  </si>
  <si>
    <t>Figure 7.7.12: Vortex flow meters</t>
  </si>
  <si>
    <t>Figura 7.7.13: Flussimetri calorimetrici</t>
  </si>
  <si>
    <t>Figure 7.7.13: Calorimetric flow meters</t>
  </si>
  <si>
    <t>Tabella 7.9.2b: Contatti selettore optional</t>
  </si>
  <si>
    <t>Tabella 7.9.2a: Contatti per comando remoto ON/OFF</t>
  </si>
  <si>
    <t>Table 7.9.2a: Contacts for remote control ON/OFF</t>
  </si>
  <si>
    <t>Table 7.9.2b: Selector contact optional</t>
  </si>
  <si>
    <t>Figura 7.10.1: Sezionatore dell'alimentazione</t>
  </si>
  <si>
    <t>Figure 7.10.1: Power supply main switch</t>
  </si>
  <si>
    <t>Figura 7.10.5.2: Sinottico ExV</t>
  </si>
  <si>
    <t xml:space="preserve">Figure 7.10.5.2: ExV Synoptic </t>
  </si>
  <si>
    <t>Figure 7.10.5.1: Synoptic of the compressor</t>
  </si>
  <si>
    <t>Figura 7.10.5.1: Sinottico del compressore</t>
  </si>
  <si>
    <t>Figura 7.10.5.3: Sinottico dell'impianto</t>
  </si>
  <si>
    <t>Figure 7.10.5.3: Synoptic of the system</t>
  </si>
  <si>
    <t>Figura 7.10.5.4: Sinottico della sorgente</t>
  </si>
  <si>
    <t>Figure 7.10.5.4: Synoptic of the source</t>
  </si>
  <si>
    <t>Figura 10: Capitolo 4.4 del Libretto Impianto</t>
  </si>
  <si>
    <t>Figure 10: Chapter 4.4 of the Plant Booklet</t>
  </si>
  <si>
    <t>7.3. Low temperature condensator connection (RT version only)</t>
  </si>
  <si>
    <t>7.3. Collegamento Condensatore LT (solo versione RT)</t>
  </si>
  <si>
    <t>Tabella 5.1.5: Ventilazione meccanica d'emergenza</t>
  </si>
  <si>
    <t>Table 5.1.5: Emergency mechanical ventilation flow rate</t>
  </si>
  <si>
    <t>Tabella 3.1.2a: Fluidi refrigeranti utilizzati</t>
  </si>
  <si>
    <t>Tabella 3.1.2a: Refrigerant fluids used</t>
  </si>
  <si>
    <t xml:space="preserve"> Tabella 3.1.3: Olio</t>
  </si>
  <si>
    <t xml:space="preserve"> Tabella 3.1.3: Oil</t>
  </si>
  <si>
    <t>Tabella 4.3.1b: Pesi della macchina</t>
  </si>
  <si>
    <t>Table 4.3.1b: Weighs of the machine</t>
  </si>
  <si>
    <t>Tabella 4.3.1a: Dimensioni della macchina</t>
  </si>
  <si>
    <t>Table 4.3.1a: Sizes of the machine</t>
  </si>
  <si>
    <t>Tabella 3.1.2b: Refrigerant charge</t>
  </si>
  <si>
    <t>Tabella 3.1.2b: carica di refrigerante</t>
  </si>
  <si>
    <t>36 (R290)
23 (R600a)</t>
  </si>
  <si>
    <t>EL290</t>
  </si>
  <si>
    <t>7.9_collegamenti_elettrici_gamma290.png</t>
  </si>
  <si>
    <t>Francesco Prato</t>
  </si>
  <si>
    <t>Tabelle</t>
  </si>
  <si>
    <t>(R)T350MB-DC A</t>
  </si>
  <si>
    <t>INSTALLATION</t>
  </si>
  <si>
    <t>Preset value</t>
  </si>
  <si>
    <t>Interfaccia di selezione</t>
  </si>
  <si>
    <t>(R)T70-DC A</t>
  </si>
  <si>
    <t>(R)T60 G</t>
  </si>
  <si>
    <t>FrancescoPrato</t>
  </si>
  <si>
    <t>AleksandraMilic</t>
  </si>
  <si>
    <t>(R)T60 W</t>
  </si>
  <si>
    <t>M.8.3.10 C_20250917_Manuale_installazione_Rev_28_AMI</t>
  </si>
  <si>
    <t xml:space="preserve">Per la movimentazione della macchina è necessario collocare i grilli di sollevamento nelle apposite staffe previo inserimento delle cinghie. Assicurarsi che i fermi dei grilli siano completamente avvitati. Per tutti i quattro angoli della macchina sono presenti una staffa in basso e un’asola in alto. Le fasce di sollevamento, lunghe 6 m e adatte a sollevare carichi di almeno 2000 kg ciascuna, devono essere agganciate alle asole attraverso i grilli e passare attraverso le corrispondenti asole. Effettuare il sollevamento della macchina solo dopo aver fatto passare le fasce correttamente attraverso le asole come mostrato nelle seguenti figure: </t>
  </si>
  <si>
    <t>189:189</t>
  </si>
  <si>
    <t>N/A</t>
  </si>
  <si>
    <t>To move the machine, place the lifting shackles in the appropriate brackets after inserting the straps. Make sure the shackle locks are fully tightened. There is a bracket at the bottom and a slot at the top for all four corners of the machine. The lifting straps, 6 m long and suitable for lifting loads of at least 2000 kg each, must be hooked to the slots via the shackles and passed through the corresponding slots. Lift the machine only after passing the straps correctly through the slots as shown in the following figures:</t>
  </si>
  <si>
    <t xml:space="preserve">Una volta solevata la macchina, prima della posa, inserire le n. </t>
  </si>
  <si>
    <t>Una volta sollevata la macchina e prima della posa, inserire i 6 piedini antivibranti (figura 4.3.1d) nei 6 fori M16 predisposti sul telaio: 3 sul lato sinistro e 3 sul lato destro.</t>
  </si>
  <si>
    <t>Piedini T350MBDC.png</t>
  </si>
  <si>
    <t>Una volta sollevata la macchina e prima della posa, inserire e avvitare i 6 piedini antivibranti (figura 4.3.1d) nei 6 fori M16 predisposti sul telaio: 3 sul lato sinistro e 3 sul lato destro.</t>
  </si>
  <si>
    <t>Piedini T350MB-DC.png</t>
  </si>
  <si>
    <t>191:191</t>
  </si>
  <si>
    <t>Figura 4.3.1d: Piedini antivibranti T350MB-DC</t>
  </si>
  <si>
    <t>C189:C191</t>
  </si>
  <si>
    <t>Figure 4.3.1d: Anti-vibration mounts T350MB-DC</t>
  </si>
  <si>
    <t>Once the unit has been lifted and before installation, insert the 6 anti-vibration mounts (figure 4.3.1d) into the 6 M16 holes provided on the frame: 3 on the left side and 3 on the right side.</t>
  </si>
  <si>
    <t xml:space="preserve">Una volta sollevata la macchina e prima della posa, inserire e avvitare i 6 piedini antivibranti (figura 4.3.1d) nei 6 fori M16 predisposti sul telaio: 3 sul lato sinistro e 3 sul lato destro. Avvitare e svitare i dadi di registrazione per mettere la macchina in bolla. </t>
  </si>
  <si>
    <t xml:space="preserve">Una volta sollevata la macchina e prima della posa, inserire e avvitare i 6 piedini antivibranti (figura 4.3.1d) nei 6 fori M16 predisposti sul telaio: 3 sul lato sinistro e 3 sul lato destro. Avvitare e svitare i dadi di regolazione per mettere la macchina in bolla. </t>
  </si>
  <si>
    <t>380:380</t>
  </si>
  <si>
    <t>T200A</t>
  </si>
  <si>
    <t>6.2_RT200_unità_esterne.png</t>
  </si>
  <si>
    <t>6.2_RT115_unità_esterne.png</t>
  </si>
  <si>
    <t>379:379</t>
  </si>
  <si>
    <t>T50A</t>
  </si>
  <si>
    <t>AP:AP</t>
  </si>
  <si>
    <t>AS:AS</t>
  </si>
  <si>
    <t>6.2_T50_unità_esterne.png</t>
  </si>
  <si>
    <t>L224:P224</t>
  </si>
  <si>
    <t>L231:P231</t>
  </si>
  <si>
    <t>L233:P234</t>
  </si>
  <si>
    <t>L233:P233</t>
  </si>
  <si>
    <t xml:space="preserve">G 3" </t>
  </si>
  <si>
    <t>G 4"</t>
  </si>
  <si>
    <t>StefaniaEvangelista</t>
  </si>
  <si>
    <t>T1.2 W</t>
  </si>
  <si>
    <t xml:space="preserve">RT1.2 W </t>
  </si>
  <si>
    <t>(R)T650 A</t>
  </si>
  <si>
    <r>
      <t>(R)T1.2</t>
    </r>
    <r>
      <rPr>
        <sz val="12"/>
        <color theme="1"/>
        <rFont val="Calibri"/>
        <family val="2"/>
      </rPr>
      <t xml:space="preserve"> W</t>
    </r>
  </si>
  <si>
    <t>(R)T1.2 W</t>
  </si>
  <si>
    <t>AT:AT</t>
  </si>
  <si>
    <t>AU9:AU10</t>
  </si>
  <si>
    <t>AT9:AT10</t>
  </si>
  <si>
    <t>T1.2</t>
  </si>
  <si>
    <t xml:space="preserve">T1.2 W </t>
  </si>
  <si>
    <t>Vite</t>
  </si>
  <si>
    <t>PAG151</t>
  </si>
  <si>
    <t>129:129</t>
  </si>
  <si>
    <t>I126:P126</t>
  </si>
  <si>
    <t>J126:Q126</t>
  </si>
  <si>
    <t>T650 A</t>
  </si>
  <si>
    <r>
      <t>T1.2</t>
    </r>
    <r>
      <rPr>
        <sz val="12"/>
        <color theme="1"/>
        <rFont val="Calibri"/>
        <family val="2"/>
      </rPr>
      <t xml:space="preserve"> W</t>
    </r>
  </si>
  <si>
    <t>92:92</t>
  </si>
  <si>
    <t>O130:Q130</t>
  </si>
  <si>
    <t>J130:Q130</t>
  </si>
  <si>
    <t>249:249</t>
  </si>
  <si>
    <t>J249:K249</t>
  </si>
  <si>
    <t>J289:K289</t>
  </si>
  <si>
    <t>328:328</t>
  </si>
  <si>
    <t>J328:K328</t>
  </si>
  <si>
    <t>372:372</t>
  </si>
  <si>
    <t>6.1_T1.2.png</t>
  </si>
  <si>
    <t>6.1_T1.2_ENG.png</t>
  </si>
  <si>
    <t>526:526</t>
  </si>
  <si>
    <t>373:373</t>
  </si>
  <si>
    <t>T1.3</t>
  </si>
  <si>
    <t>6.1_T1.2_attacchi.png</t>
  </si>
  <si>
    <t>7.9_collegamenti_elettrici_T650.png</t>
  </si>
  <si>
    <t>528:528</t>
  </si>
  <si>
    <t>529:529</t>
  </si>
  <si>
    <t>La macchina presenta due quadri elettrici indipendenti tra di loro e identici a quello riportato in figura 7.9, i due plc sono in comunicazione tra di loro.</t>
  </si>
  <si>
    <t>La macchina presenta due quadri elettrici indipendenti tra di loro e identici a quello riportato in figura 7.9</t>
  </si>
  <si>
    <t>Codici per le gamme</t>
  </si>
  <si>
    <t>PdC Water</t>
  </si>
  <si>
    <t>Pdc Air</t>
  </si>
  <si>
    <t>PdC Ground</t>
  </si>
  <si>
    <t>PW</t>
  </si>
  <si>
    <t>PA</t>
  </si>
  <si>
    <t>PG</t>
  </si>
  <si>
    <t>RW</t>
  </si>
  <si>
    <t>RA</t>
  </si>
  <si>
    <t>RG</t>
  </si>
  <si>
    <t>DCW</t>
  </si>
  <si>
    <t>DCA</t>
  </si>
  <si>
    <t>DCG</t>
  </si>
  <si>
    <t>T10,PW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</si>
</sst>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8" x14ac:knownFonts="1">
    <font>
      <sz val="11"/>
      <color theme="1"/>
      <name val="Calibri"/>
      <family val="2"/>
      <scheme val="minor"/>
    </font>
    <font>
      <b/>
      <sz val="11"/>
      <color theme="1"/>
      <name val="Calibri"/>
      <family val="2"/>
      <scheme val="minor"/>
    </font>
    <font>
      <b/>
      <sz val="9"/>
      <color rgb="FFFFFFFF"/>
      <name val="Calibri"/>
      <family val="2"/>
    </font>
    <font>
      <b/>
      <sz val="12"/>
      <color rgb="FF0070C0"/>
      <name val="Calibri"/>
      <family val="2"/>
    </font>
    <font>
      <sz val="12"/>
      <color rgb="FF000000"/>
      <name val="Calibri"/>
      <family val="2"/>
    </font>
    <font>
      <sz val="9"/>
      <color rgb="FF000000"/>
      <name val="Calibri"/>
      <family val="2"/>
    </font>
    <font>
      <sz val="12"/>
      <name val="Calibri"/>
      <family val="2"/>
    </font>
    <font>
      <b/>
      <sz val="16"/>
      <color rgb="FF595959"/>
      <name val="Calibri"/>
      <family val="2"/>
      <scheme val="minor"/>
    </font>
    <font>
      <sz val="11"/>
      <color rgb="FF000000"/>
      <name val="Calibri"/>
      <family val="2"/>
    </font>
    <font>
      <b/>
      <sz val="16"/>
      <color rgb="FF595959"/>
      <name val="Times New Roman"/>
      <family val="1"/>
    </font>
    <font>
      <b/>
      <sz val="14"/>
      <color rgb="FF15A8DD"/>
      <name val="Calibri"/>
      <family val="2"/>
      <scheme val="minor"/>
    </font>
    <font>
      <sz val="10.5"/>
      <color theme="1"/>
      <name val="Calibri"/>
      <family val="2"/>
      <scheme val="minor"/>
    </font>
    <font>
      <b/>
      <sz val="11"/>
      <color rgb="FFFFFFFF"/>
      <name val="Calibri"/>
      <family val="2"/>
    </font>
    <font>
      <b/>
      <sz val="11"/>
      <color theme="0"/>
      <name val="Calibri"/>
      <family val="2"/>
    </font>
    <font>
      <sz val="12"/>
      <color theme="1"/>
      <name val="Calibri"/>
      <family val="2"/>
    </font>
    <font>
      <sz val="11"/>
      <color theme="1"/>
      <name val="Calibri"/>
      <family val="2"/>
    </font>
    <font>
      <i/>
      <sz val="11"/>
      <color theme="1"/>
      <name val="Calibri"/>
      <family val="2"/>
      <scheme val="minor"/>
    </font>
    <font>
      <sz val="11"/>
      <color rgb="FF7030A0"/>
      <name val="Calibri"/>
      <family val="2"/>
      <scheme val="minor"/>
    </font>
    <font>
      <sz val="11"/>
      <color rgb="FFFFC000"/>
      <name val="Calibri"/>
      <family val="2"/>
      <scheme val="minor"/>
    </font>
    <font>
      <b/>
      <sz val="22"/>
      <color rgb="FF189EDA"/>
      <name val="Calibri"/>
      <family val="2"/>
      <scheme val="minor"/>
    </font>
    <font>
      <b/>
      <vertAlign val="subscript"/>
      <sz val="11"/>
      <color theme="0"/>
      <name val="Calibri"/>
      <family val="2"/>
    </font>
    <font>
      <sz val="8"/>
      <name val="Calibri"/>
      <family val="2"/>
      <scheme val="minor"/>
    </font>
    <font>
      <b/>
      <i/>
      <sz val="11"/>
      <color theme="1"/>
      <name val="Calibri"/>
      <family val="2"/>
      <scheme val="minor"/>
    </font>
    <font>
      <sz val="11"/>
      <color theme="1"/>
      <name val="Verdana"/>
      <family val="2"/>
    </font>
    <font>
      <sz val="7"/>
      <color theme="1"/>
      <name val="Times New Roman"/>
      <family val="1"/>
    </font>
    <font>
      <i/>
      <sz val="11"/>
      <color theme="1"/>
      <name val="Calibri"/>
      <family val="2"/>
    </font>
    <font>
      <b/>
      <i/>
      <sz val="10"/>
      <color theme="4" tint="-0.249977111117893"/>
      <name val="Times New Roman"/>
      <family val="1"/>
    </font>
    <font>
      <b/>
      <i/>
      <sz val="10"/>
      <color theme="4" tint="-0.249977111117893"/>
      <name val="Calibri"/>
      <family val="2"/>
      <scheme val="minor"/>
    </font>
    <font>
      <b/>
      <sz val="10"/>
      <color rgb="FF15A8DD"/>
      <name val="Calibri"/>
      <family val="2"/>
      <scheme val="minor"/>
    </font>
    <font>
      <sz val="8"/>
      <color rgb="FF000000"/>
      <name val="Calibri"/>
      <family val="2"/>
    </font>
    <font>
      <sz val="8"/>
      <color theme="1"/>
      <name val="Calibri"/>
      <family val="2"/>
      <scheme val="minor"/>
    </font>
    <font>
      <vertAlign val="superscript"/>
      <sz val="8"/>
      <color rgb="FF000000"/>
      <name val="Calibri"/>
      <family val="2"/>
    </font>
    <font>
      <b/>
      <vertAlign val="superscript"/>
      <sz val="8"/>
      <color theme="0"/>
      <name val="Calibri"/>
      <family val="2"/>
    </font>
    <font>
      <b/>
      <sz val="8"/>
      <color theme="0"/>
      <name val="Calibri"/>
      <family val="2"/>
    </font>
    <font>
      <sz val="11"/>
      <color theme="1"/>
      <name val="Symbol"/>
      <family val="1"/>
      <charset val="2"/>
    </font>
    <font>
      <sz val="11"/>
      <color theme="1"/>
      <name val="Verdana"/>
      <family val="1"/>
    </font>
    <font>
      <b/>
      <sz val="9"/>
      <color theme="0"/>
      <name val="Calibri"/>
      <family val="2"/>
    </font>
    <font>
      <sz val="9"/>
      <color theme="1"/>
      <name val="Calibri"/>
      <family val="2"/>
      <scheme val="minor"/>
    </font>
    <font>
      <sz val="12"/>
      <color theme="1"/>
      <name val="Calibri"/>
      <family val="2"/>
      <scheme val="minor"/>
    </font>
    <font>
      <b/>
      <sz val="11"/>
      <color rgb="FF0070C0"/>
      <name val="Calibri"/>
      <family val="2"/>
    </font>
    <font>
      <sz val="10"/>
      <color theme="1"/>
      <name val="Calibri"/>
      <family val="2"/>
      <scheme val="minor"/>
    </font>
    <font>
      <sz val="10"/>
      <color theme="1"/>
      <name val="Calibri"/>
      <family val="2"/>
    </font>
    <font>
      <sz val="11"/>
      <color rgb="FF000000"/>
      <name val="Calibri"/>
      <family val="2"/>
      <scheme val="minor"/>
    </font>
    <font>
      <vertAlign val="superscript"/>
      <sz val="11"/>
      <color rgb="FF000000"/>
      <name val="Calibri"/>
      <family val="2"/>
      <scheme val="minor"/>
    </font>
    <font>
      <sz val="11"/>
      <color theme="8"/>
      <name val="Calibri"/>
      <family val="2"/>
      <scheme val="minor"/>
    </font>
    <font>
      <b/>
      <sz val="11"/>
      <color rgb="FF000000"/>
      <name val="Calibri"/>
      <family val="2"/>
      <scheme val="minor"/>
    </font>
    <font>
      <b/>
      <sz val="11"/>
      <color rgb="FF15A8DD"/>
      <name val="Calibri"/>
      <family val="2"/>
      <scheme val="minor"/>
    </font>
    <font>
      <b/>
      <sz val="11"/>
      <color rgb="FF15A8DD"/>
      <name val="Calibri"/>
      <family val="2"/>
    </font>
    <font>
      <b/>
      <sz val="11"/>
      <color rgb="FFFFFFFF"/>
      <name val="Calibri"/>
      <family val="2"/>
      <scheme val="minor"/>
    </font>
    <font>
      <sz val="11"/>
      <color rgb="FFFFFFFF"/>
      <name val="Calibri"/>
      <family val="2"/>
      <scheme val="minor"/>
    </font>
    <font>
      <strike/>
      <sz val="11"/>
      <color rgb="FFFFFFFF"/>
      <name val="Calibri"/>
      <family val="2"/>
      <scheme val="minor"/>
    </font>
    <font>
      <vertAlign val="superscript"/>
      <sz val="11"/>
      <color theme="1"/>
      <name val="Calibri"/>
      <family val="2"/>
      <scheme val="minor"/>
    </font>
    <font>
      <vertAlign val="subscript"/>
      <sz val="11"/>
      <color theme="1"/>
      <name val="Calibri"/>
      <family val="2"/>
      <scheme val="minor"/>
    </font>
    <font>
      <b/>
      <i/>
      <sz val="7"/>
      <color theme="1"/>
      <name val="Times New Roman"/>
      <family val="1"/>
    </font>
    <font>
      <b/>
      <i/>
      <sz val="7"/>
      <color rgb="FF2F75B5"/>
      <name val="Times New Roman"/>
      <family val="1"/>
    </font>
    <font>
      <b/>
      <i/>
      <sz val="11"/>
      <color rgb="FF2F75B5"/>
      <name val="Calibri"/>
      <family val="2"/>
      <scheme val="minor"/>
    </font>
    <font>
      <b/>
      <sz val="11"/>
      <color rgb="FF00B0F0"/>
      <name val="Calibri"/>
      <family val="2"/>
    </font>
    <font>
      <b/>
      <sz val="11"/>
      <color rgb="FF000000"/>
      <name val="Calibri"/>
      <family val="2"/>
    </font>
    <font>
      <sz val="11"/>
      <color rgb="FF2F75B5"/>
      <name val="Calibri"/>
      <family val="2"/>
      <scheme val="minor"/>
    </font>
    <font>
      <b/>
      <i/>
      <sz val="10"/>
      <color rgb="FF2F75B5"/>
      <name val="Calibri"/>
      <family val="2"/>
      <scheme val="minor"/>
    </font>
    <font>
      <vertAlign val="subscript"/>
      <sz val="11"/>
      <color rgb="FF000000"/>
      <name val="Calibri"/>
      <family val="2"/>
    </font>
    <font>
      <b/>
      <sz val="11"/>
      <color rgb="FF00B0F0"/>
      <name val="Calibri"/>
      <family val="2"/>
      <scheme val="minor"/>
    </font>
    <font>
      <sz val="11"/>
      <color theme="0"/>
      <name val="Calibri"/>
      <family val="2"/>
      <scheme val="minor"/>
    </font>
    <font>
      <sz val="11"/>
      <color theme="0"/>
      <name val="Symbol"/>
      <family val="1"/>
      <charset val="2"/>
    </font>
    <font>
      <b/>
      <sz val="28"/>
      <color theme="0"/>
      <name val="Calibri"/>
      <family val="2"/>
      <scheme val="minor"/>
    </font>
    <font>
      <sz val="48"/>
      <name val="Calibri"/>
      <family val="2"/>
      <scheme val="minor"/>
    </font>
    <font>
      <sz val="14"/>
      <color theme="1"/>
      <name val="Calibri"/>
      <family val="2"/>
      <scheme val="minor"/>
    </font>
    <font>
      <b/>
      <sz val="14"/>
      <color rgb="FF15A8DD"/>
      <name val="Times New Roman"/>
      <family val="1"/>
    </font>
  </fonts>
  <fills count="15">
    <fill>
      <patternFill patternType="none"/>
    </fill>
    <fill>
      <patternFill patternType="gray125"/>
    </fill>
    <fill>
      <patternFill patternType="solid">
        <fgColor rgb="FFFFFF00"/>
        <bgColor indexed="64"/>
      </patternFill>
    </fill>
    <fill>
      <patternFill patternType="solid">
        <fgColor rgb="FFD6DCE4"/>
        <bgColor indexed="64"/>
      </patternFill>
    </fill>
    <fill>
      <patternFill patternType="solid">
        <fgColor theme="7"/>
        <bgColor indexed="64"/>
      </patternFill>
    </fill>
    <fill>
      <patternFill patternType="solid">
        <fgColor theme="9" tint="0.59999389629810485"/>
        <bgColor indexed="64"/>
      </patternFill>
    </fill>
    <fill>
      <patternFill patternType="solid">
        <fgColor rgb="FFFFC000"/>
        <bgColor indexed="64"/>
      </patternFill>
    </fill>
    <fill>
      <patternFill patternType="solid">
        <fgColor rgb="FFFFE699"/>
        <bgColor indexed="64"/>
      </patternFill>
    </fill>
    <fill>
      <patternFill patternType="solid">
        <fgColor rgb="FFFFFFFF"/>
        <bgColor indexed="64"/>
      </patternFill>
    </fill>
    <fill>
      <patternFill patternType="solid">
        <fgColor rgb="FF99CCFF"/>
        <bgColor indexed="64"/>
      </patternFill>
    </fill>
    <fill>
      <patternFill patternType="solid">
        <fgColor theme="4"/>
        <bgColor indexed="64"/>
      </patternFill>
    </fill>
    <fill>
      <patternFill patternType="solid">
        <fgColor theme="4" tint="-0.249977111117893"/>
        <bgColor indexed="64"/>
      </patternFill>
    </fill>
    <fill>
      <patternFill patternType="solid">
        <fgColor rgb="FF2F75B5"/>
        <bgColor indexed="64"/>
      </patternFill>
    </fill>
    <fill>
      <patternFill patternType="solid">
        <fgColor theme="1"/>
        <bgColor indexed="64"/>
      </patternFill>
    </fill>
    <fill>
      <patternFill patternType="solid">
        <fgColor theme="0"/>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diagonal/>
    </border>
    <border>
      <left style="thin">
        <color indexed="64"/>
      </left>
      <right/>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right style="thin">
        <color indexed="64"/>
      </right>
      <top/>
      <bottom/>
      <diagonal/>
    </border>
    <border>
      <left style="medium">
        <color rgb="FFFF0000"/>
      </left>
      <right/>
      <top style="medium">
        <color rgb="FFFF0000"/>
      </top>
      <bottom/>
      <diagonal/>
    </border>
    <border>
      <left/>
      <right/>
      <top style="medium">
        <color rgb="FFFF0000"/>
      </top>
      <bottom/>
      <diagonal/>
    </border>
    <border>
      <left style="medium">
        <color rgb="FFFF0000"/>
      </left>
      <right/>
      <top/>
      <bottom/>
      <diagonal/>
    </border>
    <border>
      <left style="medium">
        <color rgb="FFFF0000"/>
      </left>
      <right/>
      <top/>
      <bottom style="medium">
        <color rgb="FFFF0000"/>
      </bottom>
      <diagonal/>
    </border>
    <border>
      <left/>
      <right/>
      <top/>
      <bottom style="medium">
        <color rgb="FFFF0000"/>
      </bottom>
      <diagonal/>
    </border>
    <border>
      <left/>
      <right style="thin">
        <color indexed="64"/>
      </right>
      <top style="thin">
        <color indexed="64"/>
      </top>
      <bottom style="thin">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style="thin">
        <color indexed="64"/>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rgb="FF000000"/>
      </right>
      <top style="medium">
        <color indexed="64"/>
      </top>
      <bottom style="medium">
        <color indexed="64"/>
      </bottom>
      <diagonal/>
    </border>
    <border>
      <left/>
      <right style="medium">
        <color indexed="64"/>
      </right>
      <top/>
      <bottom/>
      <diagonal/>
    </border>
    <border>
      <left style="medium">
        <color rgb="FF000000"/>
      </left>
      <right/>
      <top style="medium">
        <color indexed="64"/>
      </top>
      <bottom style="medium">
        <color indexed="64"/>
      </bottom>
      <diagonal/>
    </border>
    <border>
      <left/>
      <right style="thin">
        <color indexed="64"/>
      </right>
      <top style="thin">
        <color indexed="64"/>
      </top>
      <bottom style="medium">
        <color indexed="64"/>
      </bottom>
      <diagonal/>
    </border>
  </borders>
  <cellStyleXfs count="1">
    <xf numFmtId="0" fontId="0" fillId="0" borderId="0"/>
  </cellStyleXfs>
  <cellXfs count="263">
    <xf numFmtId="0" fontId="0" fillId="0" borderId="0" xfId="0"/>
    <xf numFmtId="0" fontId="3" fillId="3" borderId="1" xfId="0" applyFont="1" applyFill="1" applyBorder="1" applyAlignment="1">
      <alignment horizontal="center" vertical="center"/>
    </xf>
    <xf numFmtId="0" fontId="5" fillId="0" borderId="1" xfId="0" applyFont="1" applyBorder="1" applyAlignment="1">
      <alignment horizontal="center" vertical="center"/>
    </xf>
    <xf numFmtId="3" fontId="5" fillId="0" borderId="1" xfId="0" applyNumberFormat="1" applyFont="1" applyBorder="1" applyAlignment="1">
      <alignment horizontal="center" vertical="center"/>
    </xf>
    <xf numFmtId="0" fontId="0" fillId="0" borderId="0" xfId="0" applyAlignment="1">
      <alignment horizontal="justify" vertical="center"/>
    </xf>
    <xf numFmtId="0" fontId="0" fillId="0" borderId="1" xfId="0" applyBorder="1"/>
    <xf numFmtId="0" fontId="6" fillId="0" borderId="1" xfId="0" applyFont="1" applyBorder="1" applyAlignment="1">
      <alignment horizontal="center" vertical="center"/>
    </xf>
    <xf numFmtId="0" fontId="8" fillId="0" borderId="1" xfId="0" applyFont="1" applyBorder="1" applyAlignment="1">
      <alignment horizontal="center" vertical="center"/>
    </xf>
    <xf numFmtId="164" fontId="8" fillId="0" borderId="1" xfId="0" applyNumberFormat="1" applyFont="1" applyBorder="1" applyAlignment="1">
      <alignment horizontal="center" vertical="center"/>
    </xf>
    <xf numFmtId="3" fontId="8" fillId="0" borderId="1" xfId="0" applyNumberFormat="1"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1" fillId="4" borderId="1" xfId="0" applyFont="1" applyFill="1" applyBorder="1"/>
    <xf numFmtId="0" fontId="3" fillId="3" borderId="6" xfId="0" applyFont="1" applyFill="1" applyBorder="1" applyAlignment="1">
      <alignment horizontal="center" vertical="center"/>
    </xf>
    <xf numFmtId="0" fontId="0" fillId="0" borderId="1" xfId="0" applyBorder="1" applyAlignment="1">
      <alignment horizontal="center"/>
    </xf>
    <xf numFmtId="0" fontId="0" fillId="2" borderId="1" xfId="0" applyFill="1" applyBorder="1"/>
    <xf numFmtId="0" fontId="1" fillId="4" borderId="1" xfId="0" applyFont="1" applyFill="1" applyBorder="1" applyAlignment="1">
      <alignment horizontal="center" vertical="center" wrapText="1"/>
    </xf>
    <xf numFmtId="0" fontId="1" fillId="4" borderId="8"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0" fillId="0" borderId="8" xfId="0" applyBorder="1"/>
    <xf numFmtId="0" fontId="0" fillId="0" borderId="9" xfId="0" applyBorder="1"/>
    <xf numFmtId="0" fontId="3" fillId="3" borderId="8" xfId="0" applyFont="1" applyFill="1" applyBorder="1" applyAlignment="1">
      <alignment horizontal="left" vertical="top"/>
    </xf>
    <xf numFmtId="0" fontId="3" fillId="3" borderId="10" xfId="0" applyFont="1" applyFill="1" applyBorder="1" applyAlignment="1">
      <alignment horizontal="left" vertical="top"/>
    </xf>
    <xf numFmtId="0" fontId="0" fillId="0" borderId="11" xfId="0" applyBorder="1"/>
    <xf numFmtId="0" fontId="1" fillId="4" borderId="13" xfId="0" applyFont="1" applyFill="1" applyBorder="1" applyAlignment="1">
      <alignment horizontal="center" vertical="center" wrapText="1"/>
    </xf>
    <xf numFmtId="0" fontId="1" fillId="4" borderId="17" xfId="0" applyFont="1" applyFill="1" applyBorder="1" applyAlignment="1">
      <alignment horizontal="center" vertical="center" wrapText="1"/>
    </xf>
    <xf numFmtId="0" fontId="0" fillId="0" borderId="18" xfId="0" applyBorder="1"/>
    <xf numFmtId="0" fontId="1" fillId="4" borderId="20"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21" xfId="0" applyFont="1" applyFill="1" applyBorder="1" applyAlignment="1">
      <alignment horizontal="center" vertical="center" wrapText="1"/>
    </xf>
    <xf numFmtId="0" fontId="0" fillId="0" borderId="6" xfId="0" applyBorder="1"/>
    <xf numFmtId="0" fontId="0" fillId="0" borderId="10" xfId="0" applyBorder="1"/>
    <xf numFmtId="0" fontId="0" fillId="0" borderId="1" xfId="0" applyBorder="1" applyAlignment="1">
      <alignment wrapText="1"/>
    </xf>
    <xf numFmtId="0" fontId="0" fillId="0" borderId="1" xfId="0" applyBorder="1" applyAlignment="1">
      <alignment horizontal="center" wrapText="1"/>
    </xf>
    <xf numFmtId="0" fontId="0" fillId="5" borderId="23" xfId="0" applyFill="1" applyBorder="1" applyAlignment="1">
      <alignment horizontal="center" vertical="center"/>
    </xf>
    <xf numFmtId="0" fontId="0" fillId="5" borderId="2" xfId="0" applyFill="1" applyBorder="1" applyAlignment="1">
      <alignment horizontal="center" vertical="center"/>
    </xf>
    <xf numFmtId="0" fontId="0" fillId="5" borderId="24" xfId="0" applyFill="1" applyBorder="1" applyAlignment="1">
      <alignment horizontal="center" vertical="center"/>
    </xf>
    <xf numFmtId="0" fontId="0" fillId="0" borderId="1" xfId="0" applyBorder="1" applyAlignment="1">
      <alignment horizontal="justify" vertical="center"/>
    </xf>
    <xf numFmtId="0" fontId="0" fillId="0" borderId="1" xfId="0" applyBorder="1" applyAlignment="1">
      <alignment horizontal="left" vertical="center" wrapText="1"/>
    </xf>
    <xf numFmtId="0" fontId="10" fillId="0" borderId="1" xfId="0" applyFont="1" applyBorder="1" applyAlignment="1">
      <alignment horizontal="justify" vertical="center"/>
    </xf>
    <xf numFmtId="0" fontId="11" fillId="0" borderId="1" xfId="0" applyFont="1" applyBorder="1" applyAlignment="1">
      <alignment horizontal="justify" vertical="center"/>
    </xf>
    <xf numFmtId="0" fontId="1" fillId="0" borderId="1" xfId="0" applyFont="1" applyBorder="1" applyAlignment="1">
      <alignment horizontal="center"/>
    </xf>
    <xf numFmtId="0" fontId="1" fillId="0" borderId="1" xfId="0" applyFont="1" applyBorder="1" applyAlignment="1">
      <alignment horizontal="center" vertical="center"/>
    </xf>
    <xf numFmtId="0" fontId="17" fillId="0" borderId="1" xfId="0" applyFont="1" applyBorder="1" applyAlignment="1">
      <alignment horizontal="center" vertical="center"/>
    </xf>
    <xf numFmtId="0" fontId="18" fillId="0" borderId="1" xfId="0" applyFont="1" applyBorder="1"/>
    <xf numFmtId="0" fontId="17" fillId="0" borderId="1" xfId="0" applyFont="1" applyBorder="1" applyAlignment="1">
      <alignment horizontal="justify" vertical="center"/>
    </xf>
    <xf numFmtId="0" fontId="0" fillId="7" borderId="1" xfId="0" applyFill="1" applyBorder="1" applyAlignment="1">
      <alignment horizontal="justify" vertical="center"/>
    </xf>
    <xf numFmtId="0" fontId="1" fillId="7" borderId="1" xfId="0" applyFont="1" applyFill="1" applyBorder="1" applyAlignment="1">
      <alignment horizontal="center" vertical="center"/>
    </xf>
    <xf numFmtId="0" fontId="0" fillId="7" borderId="1" xfId="0" applyFill="1" applyBorder="1" applyAlignment="1">
      <alignment wrapText="1"/>
    </xf>
    <xf numFmtId="0" fontId="19" fillId="0" borderId="0" xfId="0" applyFont="1" applyAlignment="1">
      <alignment horizontal="justify" vertical="center"/>
    </xf>
    <xf numFmtId="0" fontId="15" fillId="0" borderId="1" xfId="0" applyFont="1" applyBorder="1" applyAlignment="1">
      <alignment horizontal="center" vertical="center" wrapText="1"/>
    </xf>
    <xf numFmtId="0" fontId="0" fillId="0" borderId="2" xfId="0" applyBorder="1"/>
    <xf numFmtId="0" fontId="1" fillId="0" borderId="1" xfId="0" applyFont="1" applyBorder="1" applyAlignment="1">
      <alignment horizontal="justify" vertical="center"/>
    </xf>
    <xf numFmtId="0" fontId="19" fillId="0" borderId="1" xfId="0" applyFont="1" applyBorder="1" applyAlignment="1">
      <alignment horizontal="justify" vertical="center"/>
    </xf>
    <xf numFmtId="0" fontId="22" fillId="0" borderId="1" xfId="0" applyFont="1" applyBorder="1" applyAlignment="1">
      <alignment horizontal="justify" vertical="center"/>
    </xf>
    <xf numFmtId="0" fontId="23" fillId="0" borderId="1" xfId="0" applyFont="1" applyBorder="1" applyAlignment="1">
      <alignment horizontal="justify" vertical="center"/>
    </xf>
    <xf numFmtId="0" fontId="26" fillId="0" borderId="1" xfId="0" applyFont="1" applyBorder="1" applyAlignment="1">
      <alignment vertical="top"/>
    </xf>
    <xf numFmtId="0" fontId="29" fillId="0" borderId="1" xfId="0" applyFont="1" applyBorder="1" applyAlignment="1">
      <alignment horizontal="center"/>
    </xf>
    <xf numFmtId="0" fontId="21" fillId="0" borderId="1" xfId="0" applyFont="1" applyBorder="1" applyAlignment="1">
      <alignment horizontal="center" wrapText="1"/>
    </xf>
    <xf numFmtId="0" fontId="30" fillId="0" borderId="1" xfId="0" applyFont="1" applyBorder="1" applyAlignment="1">
      <alignment horizontal="center"/>
    </xf>
    <xf numFmtId="1" fontId="30" fillId="0" borderId="1" xfId="0" applyNumberFormat="1" applyFont="1" applyBorder="1" applyAlignment="1">
      <alignment horizontal="center"/>
    </xf>
    <xf numFmtId="0" fontId="29" fillId="8" borderId="1" xfId="0" applyFont="1" applyFill="1" applyBorder="1" applyAlignment="1">
      <alignment horizontal="center" vertical="center"/>
    </xf>
    <xf numFmtId="0" fontId="29" fillId="0" borderId="1" xfId="0" applyFont="1" applyBorder="1" applyAlignment="1">
      <alignment horizontal="center" vertical="center"/>
    </xf>
    <xf numFmtId="0" fontId="29" fillId="8" borderId="1" xfId="0" applyFont="1" applyFill="1" applyBorder="1" applyAlignment="1">
      <alignment horizontal="center" vertical="center" wrapText="1"/>
    </xf>
    <xf numFmtId="0" fontId="29" fillId="0" borderId="1" xfId="0" applyFont="1" applyBorder="1" applyAlignment="1">
      <alignment horizontal="center" wrapText="1"/>
    </xf>
    <xf numFmtId="0" fontId="30" fillId="0" borderId="1" xfId="0" applyFont="1" applyBorder="1" applyAlignment="1">
      <alignment horizontal="center" wrapText="1"/>
    </xf>
    <xf numFmtId="1" fontId="30" fillId="0" borderId="1" xfId="0" applyNumberFormat="1" applyFont="1" applyBorder="1" applyAlignment="1">
      <alignment horizontal="center" wrapText="1"/>
    </xf>
    <xf numFmtId="0" fontId="29" fillId="0" borderId="27" xfId="0" applyFont="1" applyBorder="1" applyAlignment="1">
      <alignment horizontal="center"/>
    </xf>
    <xf numFmtId="0" fontId="30" fillId="0" borderId="27" xfId="0" applyFont="1" applyBorder="1" applyAlignment="1">
      <alignment horizontal="center"/>
    </xf>
    <xf numFmtId="0" fontId="30" fillId="0" borderId="0" xfId="0" applyFont="1" applyAlignment="1">
      <alignment horizontal="center"/>
    </xf>
    <xf numFmtId="1" fontId="30" fillId="0" borderId="0" xfId="0" applyNumberFormat="1" applyFont="1" applyAlignment="1">
      <alignment horizontal="center"/>
    </xf>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2" fontId="30" fillId="0" borderId="1" xfId="0" applyNumberFormat="1" applyFont="1" applyBorder="1" applyAlignment="1">
      <alignment horizontal="center" wrapText="1"/>
    </xf>
    <xf numFmtId="0" fontId="1" fillId="0" borderId="0" xfId="0" applyFont="1" applyAlignment="1">
      <alignment horizontal="center" vertical="center"/>
    </xf>
    <xf numFmtId="0" fontId="1" fillId="7" borderId="1" xfId="0" applyFont="1" applyFill="1" applyBorder="1" applyAlignment="1">
      <alignment horizontal="left" vertical="top"/>
    </xf>
    <xf numFmtId="0" fontId="34" fillId="0" borderId="1" xfId="0" applyFont="1" applyBorder="1" applyAlignment="1">
      <alignment horizontal="justify" vertical="center"/>
    </xf>
    <xf numFmtId="0" fontId="16" fillId="0" borderId="1" xfId="0" applyFont="1" applyBorder="1" applyAlignment="1">
      <alignment horizontal="justify" vertical="center"/>
    </xf>
    <xf numFmtId="0" fontId="7" fillId="0" borderId="1" xfId="0" applyFont="1" applyBorder="1" applyAlignment="1">
      <alignment horizontal="justify" vertical="center"/>
    </xf>
    <xf numFmtId="0" fontId="35" fillId="0" borderId="1" xfId="0" applyFont="1" applyBorder="1" applyAlignment="1">
      <alignment horizontal="justify" vertical="center"/>
    </xf>
    <xf numFmtId="0" fontId="10" fillId="0" borderId="2" xfId="0" applyFont="1" applyBorder="1" applyAlignment="1">
      <alignment horizontal="justify" vertical="center"/>
    </xf>
    <xf numFmtId="0" fontId="18" fillId="0" borderId="2" xfId="0" applyFont="1" applyBorder="1"/>
    <xf numFmtId="0" fontId="1" fillId="0" borderId="2" xfId="0" applyFont="1" applyBorder="1" applyAlignment="1">
      <alignment horizontal="center" vertical="center"/>
    </xf>
    <xf numFmtId="0" fontId="17" fillId="0" borderId="2" xfId="0" applyFont="1" applyBorder="1" applyAlignment="1">
      <alignment horizontal="justify" vertical="center"/>
    </xf>
    <xf numFmtId="0" fontId="1" fillId="0" borderId="2" xfId="0" applyFont="1" applyBorder="1" applyAlignment="1">
      <alignment wrapText="1"/>
    </xf>
    <xf numFmtId="0" fontId="0" fillId="0" borderId="2" xfId="0" applyBorder="1" applyAlignment="1">
      <alignment wrapText="1"/>
    </xf>
    <xf numFmtId="0" fontId="22" fillId="0" borderId="2" xfId="0" applyFont="1" applyBorder="1" applyAlignment="1">
      <alignment horizontal="justify" vertical="center"/>
    </xf>
    <xf numFmtId="0" fontId="0" fillId="0" borderId="2" xfId="0" applyBorder="1" applyAlignment="1">
      <alignment horizontal="justify" vertical="center"/>
    </xf>
    <xf numFmtId="0" fontId="23" fillId="0" borderId="2" xfId="0" applyFont="1" applyBorder="1" applyAlignment="1">
      <alignment horizontal="justify" vertical="center"/>
    </xf>
    <xf numFmtId="0" fontId="22" fillId="0" borderId="2" xfId="0" applyFont="1" applyBorder="1"/>
    <xf numFmtId="0" fontId="25" fillId="0" borderId="2" xfId="0" applyFont="1" applyBorder="1" applyAlignment="1">
      <alignment horizontal="justify" vertical="center"/>
    </xf>
    <xf numFmtId="0" fontId="27" fillId="0" borderId="2" xfId="0" applyFont="1" applyBorder="1" applyAlignment="1">
      <alignment vertical="top"/>
    </xf>
    <xf numFmtId="0" fontId="27" fillId="0" borderId="1" xfId="0" applyFont="1" applyBorder="1" applyAlignment="1">
      <alignment vertical="top"/>
    </xf>
    <xf numFmtId="0" fontId="28" fillId="0" borderId="1" xfId="0" applyFont="1" applyBorder="1" applyAlignment="1">
      <alignment horizontal="justify" vertical="center"/>
    </xf>
    <xf numFmtId="0" fontId="0" fillId="7" borderId="1" xfId="0" applyFill="1" applyBorder="1" applyAlignment="1">
      <alignment horizontal="center" vertical="center"/>
    </xf>
    <xf numFmtId="0" fontId="9" fillId="0" borderId="1" xfId="0" applyFont="1" applyBorder="1" applyAlignment="1">
      <alignment horizontal="justify" vertical="center"/>
    </xf>
    <xf numFmtId="0" fontId="0" fillId="0" borderId="1" xfId="0" applyBorder="1" applyAlignment="1">
      <alignment horizontal="justify" vertical="center" wrapText="1"/>
    </xf>
    <xf numFmtId="0" fontId="15" fillId="0" borderId="0" xfId="0" applyFont="1" applyAlignment="1">
      <alignment horizontal="center" vertical="center" wrapText="1"/>
    </xf>
    <xf numFmtId="0" fontId="0" fillId="0" borderId="0" xfId="0" applyAlignment="1">
      <alignment horizontal="center" vertical="center"/>
    </xf>
    <xf numFmtId="0" fontId="38" fillId="0" borderId="1" xfId="0" applyFont="1" applyBorder="1" applyAlignment="1">
      <alignment horizontal="center" vertical="center" wrapText="1"/>
    </xf>
    <xf numFmtId="0" fontId="0" fillId="0" borderId="33" xfId="0" applyBorder="1" applyAlignment="1">
      <alignment horizontal="center" vertical="center" wrapText="1"/>
    </xf>
    <xf numFmtId="0" fontId="37" fillId="0" borderId="1" xfId="0" applyFont="1" applyBorder="1" applyAlignment="1">
      <alignment horizontal="center" vertical="center" wrapText="1"/>
    </xf>
    <xf numFmtId="0" fontId="40" fillId="0" borderId="1" xfId="0" applyFont="1" applyBorder="1" applyAlignment="1">
      <alignment horizontal="center" vertical="center" wrapText="1"/>
    </xf>
    <xf numFmtId="0" fontId="41" fillId="0" borderId="1" xfId="0" applyFont="1" applyBorder="1" applyAlignment="1">
      <alignment horizontal="center" vertical="center" wrapText="1"/>
    </xf>
    <xf numFmtId="0" fontId="36" fillId="0" borderId="0" xfId="0" applyFont="1" applyAlignment="1">
      <alignment horizontal="center" vertical="center" wrapText="1"/>
    </xf>
    <xf numFmtId="0" fontId="3" fillId="0" borderId="0" xfId="0" applyFont="1" applyAlignment="1">
      <alignment horizontal="center" vertical="center"/>
    </xf>
    <xf numFmtId="0" fontId="0" fillId="5" borderId="1" xfId="0" applyFill="1" applyBorder="1" applyAlignment="1">
      <alignment horizontal="center" vertical="center"/>
    </xf>
    <xf numFmtId="0" fontId="0" fillId="0" borderId="0" xfId="0" applyAlignment="1">
      <alignment horizontal="justify" vertical="center" wrapText="1"/>
    </xf>
    <xf numFmtId="0" fontId="42" fillId="0" borderId="1" xfId="0" applyFont="1" applyBorder="1" applyAlignment="1">
      <alignment horizontal="justify" vertical="center"/>
    </xf>
    <xf numFmtId="0" fontId="0" fillId="0" borderId="1" xfId="0" applyBorder="1" applyAlignment="1">
      <alignment vertical="top" wrapText="1"/>
    </xf>
    <xf numFmtId="0" fontId="0" fillId="0" borderId="1" xfId="0" applyBorder="1" applyAlignment="1">
      <alignment horizontal="left" vertical="top" wrapText="1"/>
    </xf>
    <xf numFmtId="0" fontId="1" fillId="0" borderId="1" xfId="0" applyFont="1" applyBorder="1" applyAlignment="1">
      <alignment horizontal="justify" vertical="center" wrapText="1"/>
    </xf>
    <xf numFmtId="0" fontId="1" fillId="7" borderId="1" xfId="0" applyFont="1" applyFill="1" applyBorder="1" applyAlignment="1">
      <alignment horizontal="left" vertical="top" wrapText="1"/>
    </xf>
    <xf numFmtId="0" fontId="1" fillId="7" borderId="1" xfId="0" applyFont="1" applyFill="1" applyBorder="1" applyAlignment="1">
      <alignment horizontal="left" vertical="center" wrapText="1"/>
    </xf>
    <xf numFmtId="0" fontId="1" fillId="7" borderId="1" xfId="0" applyFont="1" applyFill="1" applyBorder="1" applyAlignment="1">
      <alignment horizontal="left" vertical="center"/>
    </xf>
    <xf numFmtId="0" fontId="42" fillId="0" borderId="1" xfId="0" applyFont="1" applyBorder="1" applyAlignment="1">
      <alignment horizontal="justify" vertical="center" wrapText="1"/>
    </xf>
    <xf numFmtId="0" fontId="42" fillId="0" borderId="1" xfId="0" applyFont="1" applyBorder="1" applyAlignment="1">
      <alignment horizontal="justify" vertical="top" wrapText="1"/>
    </xf>
    <xf numFmtId="0" fontId="22" fillId="0" borderId="1" xfId="0" applyFont="1" applyBorder="1"/>
    <xf numFmtId="0" fontId="8" fillId="0" borderId="1" xfId="0" applyFont="1" applyBorder="1" applyAlignment="1">
      <alignment vertical="center" wrapText="1"/>
    </xf>
    <xf numFmtId="0" fontId="1" fillId="0" borderId="1" xfId="0" applyFont="1" applyBorder="1"/>
    <xf numFmtId="0" fontId="42" fillId="0" borderId="42" xfId="0" applyFont="1" applyBorder="1" applyAlignment="1">
      <alignment horizontal="justify" vertical="center" wrapText="1"/>
    </xf>
    <xf numFmtId="0" fontId="0" fillId="0" borderId="1" xfId="0" quotePrefix="1" applyBorder="1" applyAlignment="1">
      <alignment wrapText="1"/>
    </xf>
    <xf numFmtId="0" fontId="42" fillId="0" borderId="1" xfId="0" quotePrefix="1" applyFont="1" applyBorder="1" applyAlignment="1">
      <alignment horizontal="justify" vertical="center" wrapText="1"/>
    </xf>
    <xf numFmtId="0" fontId="0" fillId="0" borderId="1" xfId="0" quotePrefix="1" applyBorder="1"/>
    <xf numFmtId="0" fontId="15" fillId="0" borderId="1" xfId="0" quotePrefix="1" applyFont="1" applyBorder="1" applyAlignment="1">
      <alignment horizontal="justify" vertical="center"/>
    </xf>
    <xf numFmtId="0" fontId="15" fillId="0" borderId="1" xfId="0" quotePrefix="1" applyFont="1" applyBorder="1" applyAlignment="1">
      <alignment horizontal="left" vertical="center" wrapText="1"/>
    </xf>
    <xf numFmtId="0" fontId="42" fillId="0" borderId="4" xfId="0" applyFont="1" applyBorder="1" applyAlignment="1">
      <alignment horizontal="center" vertical="center"/>
    </xf>
    <xf numFmtId="0" fontId="42" fillId="0" borderId="12" xfId="0" applyFont="1" applyBorder="1" applyAlignment="1">
      <alignment horizontal="center" vertical="center"/>
    </xf>
    <xf numFmtId="0" fontId="0" fillId="0" borderId="5" xfId="0" applyBorder="1"/>
    <xf numFmtId="0" fontId="0" fillId="0" borderId="22" xfId="0" applyBorder="1"/>
    <xf numFmtId="3" fontId="5" fillId="0" borderId="22" xfId="0" applyNumberFormat="1" applyFont="1" applyBorder="1" applyAlignment="1">
      <alignment horizontal="center" vertical="center"/>
    </xf>
    <xf numFmtId="0" fontId="0" fillId="0" borderId="36" xfId="0" applyBorder="1"/>
    <xf numFmtId="3" fontId="5" fillId="0" borderId="0" xfId="0" applyNumberFormat="1" applyFont="1" applyAlignment="1">
      <alignment horizontal="center" vertical="center"/>
    </xf>
    <xf numFmtId="0" fontId="0" fillId="0" borderId="16" xfId="0" applyBorder="1"/>
    <xf numFmtId="0" fontId="0" fillId="0" borderId="15" xfId="0" applyBorder="1"/>
    <xf numFmtId="3" fontId="5" fillId="0" borderId="15" xfId="0" applyNumberFormat="1" applyFont="1" applyBorder="1" applyAlignment="1">
      <alignment horizontal="center" vertical="center"/>
    </xf>
    <xf numFmtId="0" fontId="0" fillId="0" borderId="1" xfId="0" applyBorder="1" applyAlignment="1">
      <alignment horizontal="left"/>
    </xf>
    <xf numFmtId="0" fontId="0" fillId="0" borderId="1" xfId="0" applyBorder="1" applyAlignment="1">
      <alignment horizontal="left" wrapText="1"/>
    </xf>
    <xf numFmtId="0" fontId="3" fillId="3" borderId="2" xfId="0" applyFont="1" applyFill="1" applyBorder="1" applyAlignment="1">
      <alignment horizontal="center" vertical="center"/>
    </xf>
    <xf numFmtId="0" fontId="3" fillId="3" borderId="11" xfId="0" applyFont="1" applyFill="1" applyBorder="1" applyAlignment="1">
      <alignment horizontal="center" vertical="center"/>
    </xf>
    <xf numFmtId="0" fontId="0" fillId="0" borderId="11" xfId="0" applyBorder="1" applyAlignment="1">
      <alignment horizontal="center"/>
    </xf>
    <xf numFmtId="164" fontId="0" fillId="0" borderId="9" xfId="0" applyNumberFormat="1" applyBorder="1"/>
    <xf numFmtId="0" fontId="0" fillId="0" borderId="42" xfId="0" applyBorder="1"/>
    <xf numFmtId="3"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3" fillId="3" borderId="19" xfId="0" applyFont="1" applyFill="1" applyBorder="1" applyAlignment="1">
      <alignment horizontal="center" vertical="center"/>
    </xf>
    <xf numFmtId="1" fontId="5" fillId="0" borderId="1" xfId="0" applyNumberFormat="1" applyFont="1" applyBorder="1" applyAlignment="1">
      <alignment horizontal="center" vertical="center"/>
    </xf>
    <xf numFmtId="1" fontId="0" fillId="0" borderId="1" xfId="0" applyNumberFormat="1" applyBorder="1" applyAlignment="1">
      <alignment horizontal="center" vertical="center"/>
    </xf>
    <xf numFmtId="1" fontId="0" fillId="0" borderId="0" xfId="0" applyNumberFormat="1"/>
    <xf numFmtId="0" fontId="8" fillId="8" borderId="1" xfId="0" applyFont="1" applyFill="1" applyBorder="1" applyAlignment="1">
      <alignment horizontal="center" vertical="center"/>
    </xf>
    <xf numFmtId="0" fontId="8" fillId="8" borderId="1" xfId="0" applyFont="1" applyFill="1" applyBorder="1" applyAlignment="1">
      <alignment horizontal="center" vertical="center" wrapText="1"/>
    </xf>
    <xf numFmtId="0" fontId="17" fillId="0" borderId="0" xfId="0" applyFont="1" applyAlignment="1">
      <alignment horizontal="justify" vertical="center"/>
    </xf>
    <xf numFmtId="0" fontId="1" fillId="6" borderId="1" xfId="0" applyFont="1" applyFill="1" applyBorder="1" applyAlignment="1">
      <alignment horizontal="center" vertical="center" wrapText="1"/>
    </xf>
    <xf numFmtId="0" fontId="15" fillId="0" borderId="1" xfId="0" applyFont="1" applyBorder="1"/>
    <xf numFmtId="0" fontId="15" fillId="9" borderId="1" xfId="0" applyFont="1" applyFill="1" applyBorder="1"/>
    <xf numFmtId="0" fontId="0" fillId="9" borderId="1" xfId="0" applyFill="1" applyBorder="1"/>
    <xf numFmtId="0" fontId="65" fillId="9" borderId="1" xfId="0" applyFont="1" applyFill="1" applyBorder="1" applyAlignment="1">
      <alignment horizontal="fill" vertical="center"/>
    </xf>
    <xf numFmtId="0" fontId="0" fillId="10" borderId="1" xfId="0" applyFill="1" applyBorder="1"/>
    <xf numFmtId="0" fontId="66" fillId="10" borderId="1" xfId="0" applyFont="1" applyFill="1" applyBorder="1"/>
    <xf numFmtId="0" fontId="13" fillId="11" borderId="4" xfId="0" applyFont="1" applyFill="1" applyBorder="1" applyAlignment="1">
      <alignment horizontal="center" vertical="center" wrapText="1"/>
    </xf>
    <xf numFmtId="0" fontId="13" fillId="11" borderId="26" xfId="0" applyFont="1" applyFill="1" applyBorder="1" applyAlignment="1">
      <alignment horizontal="center" vertical="center" wrapText="1"/>
    </xf>
    <xf numFmtId="0" fontId="0" fillId="0" borderId="33" xfId="0" applyBorder="1"/>
    <xf numFmtId="0" fontId="0" fillId="0" borderId="48" xfId="0" applyBorder="1"/>
    <xf numFmtId="1" fontId="0" fillId="0" borderId="1" xfId="0" applyNumberFormat="1" applyBorder="1"/>
    <xf numFmtId="0" fontId="36" fillId="12" borderId="1"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12" borderId="25" xfId="0" applyFont="1" applyFill="1" applyBorder="1" applyAlignment="1">
      <alignment horizontal="center" vertical="center" wrapText="1"/>
    </xf>
    <xf numFmtId="0" fontId="36" fillId="12" borderId="26" xfId="0" applyFont="1" applyFill="1" applyBorder="1" applyAlignment="1">
      <alignment horizontal="center" vertical="center" wrapText="1"/>
    </xf>
    <xf numFmtId="0" fontId="36" fillId="12" borderId="35" xfId="0" applyFont="1" applyFill="1" applyBorder="1" applyAlignment="1">
      <alignment horizontal="center" vertical="center" wrapText="1"/>
    </xf>
    <xf numFmtId="0" fontId="36" fillId="12" borderId="34" xfId="0" applyFont="1" applyFill="1" applyBorder="1" applyAlignment="1">
      <alignment horizontal="center" vertical="center" wrapText="1"/>
    </xf>
    <xf numFmtId="0" fontId="36" fillId="12" borderId="3" xfId="0" applyFont="1" applyFill="1" applyBorder="1" applyAlignment="1">
      <alignment horizontal="center" vertical="center"/>
    </xf>
    <xf numFmtId="0" fontId="36" fillId="12" borderId="3" xfId="0" applyFont="1" applyFill="1" applyBorder="1" applyAlignment="1">
      <alignment horizontal="center" vertical="center" wrapText="1"/>
    </xf>
    <xf numFmtId="0" fontId="2" fillId="12" borderId="1"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48" fillId="12" borderId="25" xfId="0" applyFont="1" applyFill="1" applyBorder="1" applyAlignment="1">
      <alignment horizontal="center" vertical="center" wrapText="1"/>
    </xf>
    <xf numFmtId="0" fontId="48" fillId="12" borderId="46" xfId="0" applyFont="1" applyFill="1" applyBorder="1" applyAlignment="1">
      <alignment horizontal="center" vertical="center" wrapText="1"/>
    </xf>
    <xf numFmtId="0" fontId="48" fillId="12" borderId="3" xfId="0" applyFont="1" applyFill="1" applyBorder="1" applyAlignment="1">
      <alignment horizontal="center" vertical="center" wrapText="1"/>
    </xf>
    <xf numFmtId="0" fontId="48" fillId="12" borderId="4" xfId="0" applyFont="1" applyFill="1" applyBorder="1" applyAlignment="1">
      <alignment horizontal="center" vertical="center" wrapText="1"/>
    </xf>
    <xf numFmtId="0" fontId="48" fillId="12" borderId="12" xfId="0" applyFont="1" applyFill="1" applyBorder="1" applyAlignment="1">
      <alignment horizontal="center" vertical="center" wrapText="1"/>
    </xf>
    <xf numFmtId="0" fontId="2" fillId="12" borderId="27" xfId="0" applyFont="1" applyFill="1" applyBorder="1" applyAlignment="1">
      <alignment horizontal="center" vertical="center" wrapText="1"/>
    </xf>
    <xf numFmtId="0" fontId="1" fillId="13" borderId="1" xfId="0" applyFont="1" applyFill="1" applyBorder="1"/>
    <xf numFmtId="0" fontId="64" fillId="13" borderId="1" xfId="0" applyFont="1" applyFill="1" applyBorder="1" applyAlignment="1">
      <alignment horizontal="center"/>
    </xf>
    <xf numFmtId="0" fontId="36" fillId="12" borderId="1" xfId="0" applyFont="1" applyFill="1" applyBorder="1" applyAlignment="1">
      <alignment horizontal="center" vertical="center"/>
    </xf>
    <xf numFmtId="0" fontId="0" fillId="0" borderId="0" xfId="0" applyAlignment="1">
      <alignment wrapText="1"/>
    </xf>
    <xf numFmtId="22" fontId="0" fillId="0" borderId="0" xfId="0" applyNumberFormat="1"/>
    <xf numFmtId="0" fontId="0" fillId="0" borderId="33" xfId="0" applyBorder="1" applyAlignment="1">
      <alignment horizontal="justify" vertical="center"/>
    </xf>
    <xf numFmtId="0" fontId="17" fillId="0" borderId="33" xfId="0" applyFont="1" applyBorder="1" applyAlignment="1">
      <alignment horizontal="center" vertical="center"/>
    </xf>
    <xf numFmtId="0" fontId="3" fillId="3" borderId="42" xfId="0" applyFont="1" applyFill="1" applyBorder="1" applyAlignment="1">
      <alignment horizontal="center" vertical="center"/>
    </xf>
    <xf numFmtId="46" fontId="0" fillId="0" borderId="0" xfId="0" applyNumberFormat="1"/>
    <xf numFmtId="0" fontId="0" fillId="0" borderId="0" xfId="0" applyAlignment="1">
      <alignment horizontal="center"/>
    </xf>
    <xf numFmtId="164" fontId="0" fillId="0" borderId="0" xfId="0" applyNumberFormat="1"/>
    <xf numFmtId="0" fontId="0" fillId="0" borderId="27" xfId="0" applyBorder="1"/>
    <xf numFmtId="1" fontId="0" fillId="2" borderId="0" xfId="0" applyNumberFormat="1" applyFill="1"/>
    <xf numFmtId="0" fontId="3" fillId="14" borderId="1" xfId="0" applyFont="1" applyFill="1" applyBorder="1" applyAlignment="1">
      <alignment horizontal="center" vertical="center"/>
    </xf>
    <xf numFmtId="3" fontId="8" fillId="0" borderId="42" xfId="0" applyNumberFormat="1" applyFont="1" applyBorder="1" applyAlignment="1">
      <alignment horizontal="center" vertical="center"/>
    </xf>
    <xf numFmtId="164" fontId="8" fillId="0" borderId="42" xfId="0" applyNumberFormat="1" applyFont="1" applyBorder="1" applyAlignment="1">
      <alignment horizontal="center" vertical="center"/>
    </xf>
    <xf numFmtId="0" fontId="0" fillId="0" borderId="42" xfId="0" applyBorder="1" applyAlignment="1">
      <alignment horizontal="center"/>
    </xf>
    <xf numFmtId="1" fontId="5" fillId="0" borderId="42" xfId="0" applyNumberFormat="1" applyFont="1" applyBorder="1" applyAlignment="1">
      <alignment horizontal="center" vertical="center"/>
    </xf>
    <xf numFmtId="0" fontId="0" fillId="2" borderId="0" xfId="0" applyFill="1"/>
    <xf numFmtId="0" fontId="0" fillId="6" borderId="1" xfId="0" applyFill="1" applyBorder="1" applyAlignment="1">
      <alignment vertical="center"/>
    </xf>
    <xf numFmtId="0" fontId="0" fillId="2" borderId="1" xfId="0" applyFill="1" applyBorder="1" applyAlignment="1">
      <alignment horizontal="center" vertical="center"/>
    </xf>
    <xf numFmtId="0" fontId="0" fillId="2" borderId="1" xfId="0" applyFill="1" applyBorder="1" applyAlignment="1">
      <alignment vertical="center"/>
    </xf>
    <xf numFmtId="0" fontId="1" fillId="2" borderId="1" xfId="0" applyFont="1" applyFill="1" applyBorder="1" applyAlignment="1">
      <alignment horizontal="center" vertical="center"/>
    </xf>
    <xf numFmtId="0" fontId="1" fillId="2" borderId="1" xfId="0" applyFont="1" applyFill="1" applyBorder="1" applyAlignment="1">
      <alignment horizontal="center" vertical="center" wrapText="1"/>
    </xf>
    <xf numFmtId="0" fontId="1" fillId="4" borderId="1" xfId="0" applyFont="1" applyFill="1" applyBorder="1" applyAlignment="1">
      <alignment horizontal="center"/>
    </xf>
    <xf numFmtId="0" fontId="1" fillId="4" borderId="7" xfId="0" applyFont="1" applyFill="1" applyBorder="1" applyAlignment="1">
      <alignment horizontal="center" wrapText="1"/>
    </xf>
    <xf numFmtId="0" fontId="1" fillId="4" borderId="6" xfId="0" applyFont="1" applyFill="1" applyBorder="1" applyAlignment="1">
      <alignment horizontal="center" wrapText="1"/>
    </xf>
    <xf numFmtId="0" fontId="1" fillId="4" borderId="5" xfId="0" applyFont="1" applyFill="1" applyBorder="1" applyAlignment="1">
      <alignment horizontal="center" vertical="center" wrapText="1"/>
    </xf>
    <xf numFmtId="0" fontId="1" fillId="4" borderId="14" xfId="0" applyFont="1" applyFill="1" applyBorder="1" applyAlignment="1">
      <alignment horizontal="center" vertical="center" wrapText="1"/>
    </xf>
    <xf numFmtId="0" fontId="1" fillId="4" borderId="16" xfId="0" applyFont="1" applyFill="1" applyBorder="1" applyAlignment="1">
      <alignment horizontal="center" vertical="center" wrapText="1"/>
    </xf>
    <xf numFmtId="0" fontId="1" fillId="4" borderId="12" xfId="0" applyFont="1" applyFill="1" applyBorder="1" applyAlignment="1">
      <alignment horizontal="center" vertical="center" wrapText="1"/>
    </xf>
    <xf numFmtId="0" fontId="0" fillId="9" borderId="7" xfId="0" applyFill="1" applyBorder="1" applyAlignment="1">
      <alignment wrapText="1"/>
    </xf>
    <xf numFmtId="0" fontId="0" fillId="9" borderId="6" xfId="0" applyFill="1" applyBorder="1" applyAlignment="1">
      <alignment wrapText="1"/>
    </xf>
    <xf numFmtId="0" fontId="0" fillId="0" borderId="7" xfId="0" applyBorder="1" applyAlignment="1">
      <alignment wrapText="1"/>
    </xf>
    <xf numFmtId="0" fontId="0" fillId="0" borderId="6" xfId="0" applyBorder="1" applyAlignment="1">
      <alignment wrapText="1"/>
    </xf>
    <xf numFmtId="0" fontId="0" fillId="6" borderId="1" xfId="0" applyFill="1" applyBorder="1" applyAlignment="1">
      <alignment horizontal="center"/>
    </xf>
    <xf numFmtId="0" fontId="1" fillId="4" borderId="22" xfId="0" applyFont="1" applyFill="1" applyBorder="1" applyAlignment="1">
      <alignment horizontal="center" vertical="center" wrapText="1"/>
    </xf>
    <xf numFmtId="0" fontId="1" fillId="4" borderId="15" xfId="0" applyFont="1" applyFill="1" applyBorder="1" applyAlignment="1">
      <alignment horizontal="center" vertical="center" wrapText="1"/>
    </xf>
    <xf numFmtId="0" fontId="1" fillId="6" borderId="36" xfId="0" applyFont="1" applyFill="1" applyBorder="1" applyAlignment="1">
      <alignment horizontal="center" vertical="center"/>
    </xf>
    <xf numFmtId="0" fontId="1" fillId="6" borderId="0" xfId="0" applyFont="1" applyFill="1" applyAlignment="1">
      <alignment horizontal="center" vertical="center"/>
    </xf>
    <xf numFmtId="0" fontId="0" fillId="0" borderId="0" xfId="0"/>
    <xf numFmtId="0" fontId="13" fillId="11" borderId="3" xfId="0" applyFont="1" applyFill="1" applyBorder="1" applyAlignment="1">
      <alignment horizontal="center" vertical="center"/>
    </xf>
    <xf numFmtId="0" fontId="13" fillId="11" borderId="4" xfId="0" applyFont="1" applyFill="1" applyBorder="1" applyAlignment="1">
      <alignment horizontal="center" vertical="center"/>
    </xf>
    <xf numFmtId="0" fontId="13" fillId="11" borderId="3" xfId="0" applyFont="1" applyFill="1" applyBorder="1" applyAlignment="1">
      <alignment horizontal="center" vertical="center" wrapText="1"/>
    </xf>
    <xf numFmtId="0" fontId="13" fillId="11" borderId="4" xfId="0" applyFont="1" applyFill="1" applyBorder="1" applyAlignment="1">
      <alignment horizontal="center" vertical="center" wrapText="1"/>
    </xf>
    <xf numFmtId="0" fontId="2" fillId="12" borderId="1" xfId="0" applyFont="1" applyFill="1" applyBorder="1" applyAlignment="1">
      <alignment horizontal="center" vertical="center" wrapText="1"/>
    </xf>
    <xf numFmtId="0" fontId="13" fillId="11" borderId="25" xfId="0" applyFont="1" applyFill="1" applyBorder="1" applyAlignment="1">
      <alignment horizontal="center" vertical="center" wrapText="1"/>
    </xf>
    <xf numFmtId="0" fontId="3" fillId="3" borderId="39" xfId="0" applyFont="1" applyFill="1" applyBorder="1" applyAlignment="1">
      <alignment horizontal="center" vertical="center"/>
    </xf>
    <xf numFmtId="0" fontId="3" fillId="3" borderId="40" xfId="0" applyFont="1" applyFill="1" applyBorder="1" applyAlignment="1">
      <alignment horizontal="center" vertical="center"/>
    </xf>
    <xf numFmtId="0" fontId="3" fillId="3" borderId="41" xfId="0" applyFont="1" applyFill="1" applyBorder="1" applyAlignment="1">
      <alignment horizontal="center" vertical="center"/>
    </xf>
    <xf numFmtId="0" fontId="39" fillId="3" borderId="39" xfId="0" applyFont="1" applyFill="1" applyBorder="1" applyAlignment="1">
      <alignment horizontal="center" vertical="center"/>
    </xf>
    <xf numFmtId="0" fontId="39" fillId="3" borderId="40" xfId="0" applyFont="1" applyFill="1" applyBorder="1" applyAlignment="1">
      <alignment horizontal="center" vertical="center"/>
    </xf>
    <xf numFmtId="0" fontId="39" fillId="3" borderId="41" xfId="0" applyFont="1" applyFill="1" applyBorder="1" applyAlignment="1">
      <alignment horizontal="center" vertical="center"/>
    </xf>
    <xf numFmtId="0" fontId="39" fillId="3" borderId="37" xfId="0" applyFont="1" applyFill="1" applyBorder="1" applyAlignment="1">
      <alignment horizontal="center" vertical="center"/>
    </xf>
    <xf numFmtId="0" fontId="39" fillId="3" borderId="0" xfId="0" applyFont="1" applyFill="1" applyAlignment="1">
      <alignment horizontal="center" vertical="center"/>
    </xf>
    <xf numFmtId="0" fontId="36" fillId="12" borderId="36" xfId="0" applyFont="1" applyFill="1" applyBorder="1" applyAlignment="1">
      <alignment horizontal="center" vertical="center" wrapText="1"/>
    </xf>
    <xf numFmtId="0" fontId="36" fillId="12" borderId="0" xfId="0" applyFont="1" applyFill="1" applyAlignment="1">
      <alignment horizontal="center" vertical="center" wrapText="1"/>
    </xf>
    <xf numFmtId="0" fontId="3" fillId="3" borderId="2" xfId="0" applyFont="1" applyFill="1" applyBorder="1" applyAlignment="1">
      <alignment horizontal="center" vertical="center"/>
    </xf>
    <xf numFmtId="0" fontId="3" fillId="3" borderId="24" xfId="0" applyFont="1" applyFill="1" applyBorder="1" applyAlignment="1">
      <alignment horizontal="center" vertical="center"/>
    </xf>
    <xf numFmtId="0" fontId="3" fillId="3" borderId="33" xfId="0" applyFont="1" applyFill="1" applyBorder="1" applyAlignment="1">
      <alignment horizontal="center" vertical="center"/>
    </xf>
    <xf numFmtId="0" fontId="0" fillId="0" borderId="38" xfId="0" applyBorder="1" applyAlignment="1">
      <alignment horizontal="center"/>
    </xf>
    <xf numFmtId="0" fontId="2" fillId="12" borderId="37" xfId="0" applyFont="1" applyFill="1" applyBorder="1" applyAlignment="1">
      <alignment horizontal="center" vertical="center" wrapText="1"/>
    </xf>
    <xf numFmtId="0" fontId="2" fillId="12" borderId="0" xfId="0" applyFont="1" applyFill="1" applyAlignment="1">
      <alignment horizontal="center" vertical="center" wrapText="1"/>
    </xf>
    <xf numFmtId="0" fontId="2" fillId="12" borderId="2" xfId="0" applyFont="1" applyFill="1" applyBorder="1" applyAlignment="1">
      <alignment horizontal="center" vertical="center" wrapText="1"/>
    </xf>
    <xf numFmtId="0" fontId="2" fillId="12" borderId="24" xfId="0" applyFont="1" applyFill="1" applyBorder="1" applyAlignment="1">
      <alignment horizontal="center" vertical="center" wrapText="1"/>
    </xf>
    <xf numFmtId="0" fontId="2" fillId="12" borderId="33" xfId="0" applyFont="1" applyFill="1" applyBorder="1" applyAlignment="1">
      <alignment horizontal="center" vertical="center" wrapText="1"/>
    </xf>
    <xf numFmtId="0" fontId="13" fillId="12" borderId="3" xfId="0" applyFont="1" applyFill="1" applyBorder="1" applyAlignment="1">
      <alignment horizontal="center" vertical="center"/>
    </xf>
    <xf numFmtId="0" fontId="13" fillId="12" borderId="4" xfId="0" applyFont="1" applyFill="1" applyBorder="1" applyAlignment="1">
      <alignment horizontal="center" vertical="center"/>
    </xf>
    <xf numFmtId="0" fontId="13" fillId="12" borderId="3"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48" fillId="12" borderId="43" xfId="0" applyFont="1" applyFill="1" applyBorder="1" applyAlignment="1">
      <alignment horizontal="center" vertical="center" wrapText="1"/>
    </xf>
    <xf numFmtId="0" fontId="48" fillId="12" borderId="44" xfId="0" applyFont="1" applyFill="1" applyBorder="1" applyAlignment="1">
      <alignment horizontal="center" vertical="center" wrapText="1"/>
    </xf>
    <xf numFmtId="0" fontId="48" fillId="12" borderId="45" xfId="0" applyFont="1" applyFill="1" applyBorder="1" applyAlignment="1">
      <alignment horizontal="center" vertical="center" wrapText="1"/>
    </xf>
    <xf numFmtId="0" fontId="48" fillId="12" borderId="47" xfId="0" applyFont="1" applyFill="1" applyBorder="1" applyAlignment="1">
      <alignment horizontal="center" vertical="center" wrapText="1"/>
    </xf>
    <xf numFmtId="0" fontId="2" fillId="12" borderId="8" xfId="0" applyFont="1" applyFill="1" applyBorder="1" applyAlignment="1">
      <alignment horizontal="center" vertical="center" wrapText="1"/>
    </xf>
    <xf numFmtId="0" fontId="2" fillId="12" borderId="7" xfId="0" applyFont="1" applyFill="1" applyBorder="1" applyAlignment="1">
      <alignment horizontal="center" vertical="center" wrapText="1"/>
    </xf>
    <xf numFmtId="0" fontId="2" fillId="12" borderId="6" xfId="0" applyFont="1" applyFill="1" applyBorder="1" applyAlignment="1">
      <alignment horizontal="center" vertical="center" wrapText="1"/>
    </xf>
    <xf numFmtId="0" fontId="36" fillId="12" borderId="1" xfId="0" applyFont="1" applyFill="1" applyBorder="1" applyAlignment="1">
      <alignment horizontal="center" vertical="center" wrapText="1"/>
    </xf>
    <xf numFmtId="0" fontId="0" fillId="0" borderId="1" xfId="0" applyBorder="1" applyAlignment="1">
      <alignment horizontal="center" vertical="center" wrapText="1"/>
    </xf>
    <xf numFmtId="1" fontId="0" fillId="0" borderId="1" xfId="0" applyNumberFormat="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2F75B5"/>
      <color rgb="FF99CCFF"/>
      <color rgb="FFD3DBE7"/>
      <color rgb="FFD6DCE4"/>
      <color rgb="FFFFC000"/>
      <color rgb="FF15A8DD"/>
      <color rgb="FFFFFFFF"/>
      <color rgb="FFFFE699"/>
      <color rgb="FF052CED"/>
      <color rgb="FF189E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8FE4A-F697-462B-ACB3-7CD981C2FFBC}">
  <sheetPr codeName="Foglio1"/>
  <dimension ref="A1:BD39"/>
  <sheetViews>
    <sheetView topLeftCell="D1" zoomScale="56" zoomScaleNormal="83" workbookViewId="0">
      <selection activeCell="M2" sqref="M2:P5"/>
    </sheetView>
  </sheetViews>
  <sheetFormatPr defaultRowHeight="14.4" x14ac:dyDescent="0.3"/>
  <cols>
    <col min="1" max="1" width="14" customWidth="1"/>
    <col min="2" max="2" width="14.6640625" customWidth="1"/>
    <col min="3" max="3" width="19.88671875" customWidth="1"/>
    <col min="4" max="4" width="15.6640625" customWidth="1"/>
    <col min="5" max="5" width="13.44140625" customWidth="1"/>
    <col min="6" max="6" width="15.5546875" customWidth="1"/>
    <col min="7" max="7" width="11.88671875" bestFit="1" customWidth="1"/>
    <col min="8" max="8" width="11.6640625" customWidth="1"/>
    <col min="9" max="9" width="10" bestFit="1" customWidth="1"/>
    <col min="11" max="11" width="11.109375" bestFit="1" customWidth="1"/>
    <col min="12" max="12" width="18.88671875" bestFit="1" customWidth="1"/>
    <col min="13" max="13" width="19.77734375" bestFit="1" customWidth="1"/>
    <col min="14" max="14" width="17.33203125" customWidth="1"/>
    <col min="16" max="16" width="12.77734375" bestFit="1" customWidth="1"/>
    <col min="19" max="19" width="14.33203125" customWidth="1"/>
    <col min="20" max="20" width="17.5546875" customWidth="1"/>
    <col min="21" max="21" width="16.5546875" bestFit="1" customWidth="1"/>
    <col min="22" max="22" width="12.44140625" bestFit="1" customWidth="1"/>
    <col min="23" max="23" width="11.44140625" bestFit="1" customWidth="1"/>
    <col min="24" max="26" width="11.44140625" customWidth="1"/>
    <col min="27" max="27" width="19.5546875" customWidth="1"/>
    <col min="28" max="52" width="11.44140625" customWidth="1"/>
    <col min="55" max="55" width="14.33203125" bestFit="1" customWidth="1"/>
    <col min="56" max="56" width="15.6640625" bestFit="1" customWidth="1"/>
  </cols>
  <sheetData>
    <row r="1" spans="1:56" ht="15" thickBot="1" x14ac:dyDescent="0.35"/>
    <row r="2" spans="1:56" ht="29.25" customHeight="1" x14ac:dyDescent="0.3">
      <c r="B2" s="16" t="s">
        <v>52</v>
      </c>
      <c r="C2" s="155" t="s">
        <v>142</v>
      </c>
      <c r="D2" s="16" t="s">
        <v>106</v>
      </c>
      <c r="F2" s="210" t="s">
        <v>148</v>
      </c>
      <c r="G2" s="211"/>
      <c r="I2" s="210" t="s">
        <v>149</v>
      </c>
      <c r="J2" s="219"/>
      <c r="K2" s="211"/>
      <c r="M2" s="202" t="s">
        <v>1575</v>
      </c>
      <c r="N2" s="203" t="s">
        <v>1576</v>
      </c>
      <c r="O2" s="204" t="s">
        <v>1577</v>
      </c>
      <c r="P2" s="204" t="s">
        <v>1578</v>
      </c>
    </row>
    <row r="3" spans="1:56" ht="15" thickBot="1" x14ac:dyDescent="0.35">
      <c r="B3" s="15" t="s">
        <v>1504</v>
      </c>
      <c r="C3" s="15" t="s">
        <v>146</v>
      </c>
      <c r="D3" s="15" t="s">
        <v>145</v>
      </c>
      <c r="F3" s="212"/>
      <c r="G3" s="213"/>
      <c r="I3" s="212"/>
      <c r="J3" s="220"/>
      <c r="K3" s="213"/>
      <c r="M3" s="205" t="s">
        <v>1396</v>
      </c>
      <c r="N3" s="14" t="s">
        <v>1579</v>
      </c>
      <c r="O3" s="14" t="s">
        <v>1580</v>
      </c>
      <c r="P3" s="14" t="s">
        <v>1581</v>
      </c>
    </row>
    <row r="4" spans="1:56" ht="43.2" x14ac:dyDescent="0.3">
      <c r="F4" s="24" t="s">
        <v>71</v>
      </c>
      <c r="G4" s="25" t="s">
        <v>143</v>
      </c>
      <c r="I4" s="27" t="s">
        <v>52</v>
      </c>
      <c r="J4" s="28" t="s">
        <v>142</v>
      </c>
      <c r="K4" s="29" t="s">
        <v>106</v>
      </c>
      <c r="M4" s="206" t="s">
        <v>1397</v>
      </c>
      <c r="N4" s="10" t="s">
        <v>1582</v>
      </c>
      <c r="O4" s="10" t="s">
        <v>1583</v>
      </c>
      <c r="P4" s="10" t="s">
        <v>1584</v>
      </c>
    </row>
    <row r="5" spans="1:56" ht="15" thickBot="1" x14ac:dyDescent="0.35">
      <c r="B5" s="218" t="s">
        <v>1210</v>
      </c>
      <c r="C5" s="218"/>
      <c r="F5" s="19" t="s">
        <v>37</v>
      </c>
      <c r="G5" s="20" t="s">
        <v>145</v>
      </c>
      <c r="I5" s="31">
        <f>VLOOKUP(B3,F11:G38,2,FALSE)</f>
        <v>8</v>
      </c>
      <c r="J5" s="23">
        <f>IF(C3=F5,0,IF(C3=F6,1,FALSE))</f>
        <v>1</v>
      </c>
      <c r="K5" s="26">
        <f>IF(D3=G5,0,IF(D3=G6,1,FALSE))</f>
        <v>0</v>
      </c>
      <c r="M5" s="205" t="s">
        <v>1398</v>
      </c>
      <c r="N5" s="14" t="s">
        <v>1585</v>
      </c>
      <c r="O5" s="14" t="s">
        <v>1586</v>
      </c>
      <c r="P5" s="14" t="s">
        <v>1587</v>
      </c>
    </row>
    <row r="6" spans="1:56" x14ac:dyDescent="0.3">
      <c r="A6" s="216" t="s">
        <v>1216</v>
      </c>
      <c r="B6" s="156" t="s">
        <v>1212</v>
      </c>
      <c r="C6" s="156" t="s">
        <v>1211</v>
      </c>
      <c r="F6" s="19" t="s">
        <v>146</v>
      </c>
      <c r="G6" s="20" t="s">
        <v>144</v>
      </c>
    </row>
    <row r="7" spans="1:56" x14ac:dyDescent="0.3">
      <c r="A7" s="217"/>
      <c r="B7" s="15">
        <v>2</v>
      </c>
      <c r="C7" s="15">
        <v>-1</v>
      </c>
      <c r="M7" s="221" t="s">
        <v>150</v>
      </c>
      <c r="N7" s="222"/>
      <c r="O7" s="222"/>
      <c r="P7" s="222"/>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c r="AP7" s="222"/>
      <c r="AQ7" s="222"/>
      <c r="AR7" s="222"/>
      <c r="AS7" s="222"/>
      <c r="AT7" s="222"/>
      <c r="AU7" s="222"/>
      <c r="AV7" s="222"/>
      <c r="AW7" s="222"/>
      <c r="AX7" s="222"/>
      <c r="AY7" s="222"/>
      <c r="AZ7" s="222"/>
      <c r="BB7" s="208" t="s">
        <v>52</v>
      </c>
      <c r="BC7" s="207" t="s">
        <v>142</v>
      </c>
      <c r="BD7" s="207"/>
    </row>
    <row r="8" spans="1:56" x14ac:dyDescent="0.3">
      <c r="M8" s="221"/>
      <c r="N8" s="222"/>
      <c r="O8" s="222"/>
      <c r="P8" s="222"/>
      <c r="Q8" s="222"/>
      <c r="R8" s="222"/>
      <c r="S8" s="222"/>
      <c r="T8" s="222"/>
      <c r="U8" s="222"/>
      <c r="V8" s="222"/>
      <c r="W8" s="222"/>
      <c r="X8" s="222"/>
      <c r="Y8" s="222"/>
      <c r="Z8" s="222"/>
      <c r="AA8" s="222"/>
      <c r="AB8" s="222"/>
      <c r="AC8" s="222"/>
      <c r="AD8" s="222"/>
      <c r="AE8" s="222"/>
      <c r="AF8" s="222"/>
      <c r="AG8" s="222"/>
      <c r="AH8" s="222"/>
      <c r="AI8" s="222"/>
      <c r="AJ8" s="222"/>
      <c r="AK8" s="222"/>
      <c r="AL8" s="222"/>
      <c r="AM8" s="222"/>
      <c r="AN8" s="222"/>
      <c r="AO8" s="222"/>
      <c r="AP8" s="222"/>
      <c r="AQ8" s="222"/>
      <c r="AR8" s="222"/>
      <c r="AS8" s="222"/>
      <c r="AT8" s="222"/>
      <c r="AU8" s="222"/>
      <c r="AV8" s="222"/>
      <c r="AW8" s="222"/>
      <c r="AX8" s="222"/>
      <c r="AY8" s="222"/>
      <c r="AZ8" s="222"/>
      <c r="BB8" s="209"/>
      <c r="BC8" s="12">
        <v>0</v>
      </c>
      <c r="BD8" s="12">
        <v>1</v>
      </c>
    </row>
    <row r="9" spans="1:56" ht="15.6" x14ac:dyDescent="0.3">
      <c r="B9" s="218" t="s">
        <v>1213</v>
      </c>
      <c r="C9" s="218"/>
      <c r="M9" s="30" t="s">
        <v>168</v>
      </c>
      <c r="N9" s="30" t="s">
        <v>39</v>
      </c>
      <c r="O9" s="30" t="s">
        <v>41</v>
      </c>
      <c r="P9" s="30" t="s">
        <v>42</v>
      </c>
      <c r="Q9" s="30" t="s">
        <v>45</v>
      </c>
      <c r="R9" s="30" t="s">
        <v>0</v>
      </c>
      <c r="S9" s="30" t="s">
        <v>1</v>
      </c>
      <c r="T9" s="30" t="s">
        <v>48</v>
      </c>
      <c r="U9" s="30" t="s">
        <v>49</v>
      </c>
      <c r="V9" s="30" t="s">
        <v>166</v>
      </c>
      <c r="W9" s="30" t="s">
        <v>167</v>
      </c>
      <c r="X9" s="30" t="s">
        <v>192</v>
      </c>
      <c r="Y9" s="30" t="s">
        <v>196</v>
      </c>
      <c r="Z9" s="30" t="s">
        <v>226</v>
      </c>
      <c r="AA9" s="30" t="s">
        <v>395</v>
      </c>
      <c r="AB9" s="145" t="s">
        <v>854</v>
      </c>
      <c r="AC9" s="145" t="s">
        <v>855</v>
      </c>
      <c r="AD9" s="145" t="s">
        <v>856</v>
      </c>
      <c r="AE9" s="145" t="s">
        <v>857</v>
      </c>
      <c r="AF9" s="145" t="s">
        <v>858</v>
      </c>
      <c r="AG9" s="145" t="s">
        <v>859</v>
      </c>
      <c r="AH9" s="145" t="s">
        <v>822</v>
      </c>
      <c r="AI9" s="145" t="s">
        <v>824</v>
      </c>
      <c r="AJ9" s="145" t="s">
        <v>860</v>
      </c>
      <c r="AK9" s="145" t="s">
        <v>861</v>
      </c>
      <c r="AL9" s="145" t="s">
        <v>862</v>
      </c>
      <c r="AM9" s="145" t="s">
        <v>832</v>
      </c>
      <c r="AN9" s="30" t="s">
        <v>863</v>
      </c>
      <c r="AO9" s="30" t="s">
        <v>864</v>
      </c>
      <c r="AP9" s="30" t="s">
        <v>1527</v>
      </c>
      <c r="AQ9" s="30" t="s">
        <v>865</v>
      </c>
      <c r="AR9" s="30" t="s">
        <v>866</v>
      </c>
      <c r="AS9" s="30" t="s">
        <v>1523</v>
      </c>
      <c r="AT9" s="30" t="s">
        <v>867</v>
      </c>
      <c r="AU9" s="30" t="s">
        <v>1546</v>
      </c>
      <c r="AV9" s="145" t="s">
        <v>881</v>
      </c>
      <c r="AW9" s="30" t="s">
        <v>901</v>
      </c>
      <c r="AX9" s="145" t="s">
        <v>1492</v>
      </c>
      <c r="AY9" s="145" t="s">
        <v>902</v>
      </c>
      <c r="AZ9" t="s">
        <v>1415</v>
      </c>
      <c r="BB9" s="5">
        <v>1</v>
      </c>
      <c r="BC9" s="13" t="s">
        <v>13</v>
      </c>
      <c r="BD9" s="13" t="s">
        <v>55</v>
      </c>
    </row>
    <row r="10" spans="1:56" ht="15.6" customHeight="1" x14ac:dyDescent="0.3">
      <c r="A10" s="214" t="s">
        <v>1215</v>
      </c>
      <c r="B10" s="157" t="s">
        <v>1212</v>
      </c>
      <c r="C10" s="158">
        <v>0</v>
      </c>
      <c r="F10" s="17" t="s">
        <v>147</v>
      </c>
      <c r="G10" s="18" t="s">
        <v>52</v>
      </c>
      <c r="M10" s="5" t="s">
        <v>38</v>
      </c>
      <c r="N10" s="5" t="s">
        <v>40</v>
      </c>
      <c r="O10" s="5" t="s">
        <v>1398</v>
      </c>
      <c r="P10" s="5" t="s">
        <v>43</v>
      </c>
      <c r="Q10" s="5" t="s">
        <v>46</v>
      </c>
      <c r="R10" s="5" t="s">
        <v>44</v>
      </c>
      <c r="S10" s="5" t="s">
        <v>47</v>
      </c>
      <c r="T10" s="5" t="s">
        <v>398</v>
      </c>
      <c r="U10" s="5" t="s">
        <v>1400</v>
      </c>
      <c r="V10" s="5" t="s">
        <v>1396</v>
      </c>
      <c r="W10" s="5" t="s">
        <v>1397</v>
      </c>
      <c r="X10" s="5" t="s">
        <v>192</v>
      </c>
      <c r="Y10" s="5" t="s">
        <v>196</v>
      </c>
      <c r="Z10" s="5" t="s">
        <v>226</v>
      </c>
      <c r="AA10" s="5" t="s">
        <v>376</v>
      </c>
      <c r="AB10" s="5">
        <v>1</v>
      </c>
      <c r="AC10" s="5">
        <v>4</v>
      </c>
      <c r="AD10" s="5">
        <v>7</v>
      </c>
      <c r="AE10" s="5">
        <v>11</v>
      </c>
      <c r="AF10" s="5">
        <v>12</v>
      </c>
      <c r="AG10" s="5">
        <v>15</v>
      </c>
      <c r="AH10" s="5">
        <v>17</v>
      </c>
      <c r="AI10" s="5">
        <v>21</v>
      </c>
      <c r="AJ10" s="5">
        <v>20</v>
      </c>
      <c r="AK10" s="5">
        <v>24</v>
      </c>
      <c r="AL10" s="5">
        <v>25</v>
      </c>
      <c r="AM10" s="5">
        <v>26</v>
      </c>
      <c r="AN10" s="5">
        <v>3</v>
      </c>
      <c r="AO10" s="5">
        <v>6</v>
      </c>
      <c r="AP10" s="5">
        <v>7</v>
      </c>
      <c r="AQ10" s="5">
        <v>9</v>
      </c>
      <c r="AR10" s="5">
        <v>14</v>
      </c>
      <c r="AS10" s="5">
        <v>16</v>
      </c>
      <c r="AT10" s="5">
        <v>19</v>
      </c>
      <c r="AU10" s="5">
        <v>29</v>
      </c>
      <c r="AV10" s="5">
        <v>3</v>
      </c>
      <c r="AW10" s="5">
        <v>1</v>
      </c>
      <c r="AX10" s="5">
        <v>7</v>
      </c>
      <c r="AY10" s="5">
        <v>11</v>
      </c>
      <c r="AZ10" s="5">
        <v>11</v>
      </c>
      <c r="BB10" s="5">
        <v>2</v>
      </c>
      <c r="BC10" s="1" t="s">
        <v>14</v>
      </c>
      <c r="BD10" s="1" t="s">
        <v>56</v>
      </c>
    </row>
    <row r="11" spans="1:56" ht="15.6" customHeight="1" x14ac:dyDescent="0.3">
      <c r="A11" s="215"/>
      <c r="B11" s="157" t="s">
        <v>1211</v>
      </c>
      <c r="C11" s="158">
        <v>17</v>
      </c>
      <c r="F11" s="21" t="s">
        <v>72</v>
      </c>
      <c r="G11" s="20">
        <v>1</v>
      </c>
      <c r="M11" s="5">
        <v>1</v>
      </c>
      <c r="N11" s="5">
        <v>1</v>
      </c>
      <c r="O11" s="5">
        <v>11</v>
      </c>
      <c r="P11" s="5">
        <v>25</v>
      </c>
      <c r="Q11" s="5">
        <v>1</v>
      </c>
      <c r="R11" s="5">
        <v>3</v>
      </c>
      <c r="S11" s="5">
        <v>2</v>
      </c>
      <c r="T11" s="5">
        <v>1</v>
      </c>
      <c r="U11" s="5">
        <v>17</v>
      </c>
      <c r="V11" s="5">
        <v>8</v>
      </c>
      <c r="W11" s="51">
        <v>1</v>
      </c>
      <c r="X11" s="5">
        <v>1</v>
      </c>
      <c r="Y11" s="5">
        <v>7</v>
      </c>
      <c r="Z11" s="5">
        <v>11</v>
      </c>
      <c r="AA11" s="5">
        <v>2</v>
      </c>
      <c r="AB11" s="5">
        <v>2</v>
      </c>
      <c r="AC11" s="5">
        <v>5</v>
      </c>
      <c r="AD11" s="5">
        <v>8</v>
      </c>
      <c r="AF11" s="5">
        <v>13</v>
      </c>
      <c r="AH11" s="5">
        <v>18</v>
      </c>
      <c r="AI11" s="5">
        <v>22</v>
      </c>
      <c r="AM11" s="5">
        <v>27</v>
      </c>
      <c r="AV11" s="5">
        <v>6</v>
      </c>
      <c r="AW11" s="5">
        <v>2</v>
      </c>
      <c r="AX11" s="5">
        <v>14</v>
      </c>
      <c r="AY11" s="5">
        <v>15</v>
      </c>
      <c r="AZ11" s="5">
        <v>15</v>
      </c>
      <c r="BB11" s="5">
        <v>3</v>
      </c>
      <c r="BC11" s="1" t="s">
        <v>15</v>
      </c>
      <c r="BD11" s="1" t="s">
        <v>57</v>
      </c>
    </row>
    <row r="12" spans="1:56" ht="25.2" customHeight="1" x14ac:dyDescent="0.3">
      <c r="B12" s="158" t="s">
        <v>1214</v>
      </c>
      <c r="C12" s="159" t="s">
        <v>1217</v>
      </c>
      <c r="F12" s="21" t="s">
        <v>111</v>
      </c>
      <c r="G12" s="20">
        <v>2</v>
      </c>
      <c r="M12" s="5">
        <v>2</v>
      </c>
      <c r="N12" s="5">
        <v>2</v>
      </c>
      <c r="O12" s="5">
        <v>15</v>
      </c>
      <c r="Q12" s="5">
        <v>4</v>
      </c>
      <c r="R12" s="5">
        <v>6</v>
      </c>
      <c r="S12" s="5">
        <v>5</v>
      </c>
      <c r="T12" s="5">
        <v>2</v>
      </c>
      <c r="U12" s="5">
        <v>18</v>
      </c>
      <c r="V12" s="5">
        <v>9</v>
      </c>
      <c r="W12" s="51">
        <v>2</v>
      </c>
      <c r="X12" s="5">
        <v>2</v>
      </c>
      <c r="Y12" s="5">
        <v>14</v>
      </c>
      <c r="Z12" s="5">
        <v>15</v>
      </c>
      <c r="AA12" s="5">
        <v>3</v>
      </c>
      <c r="AB12" s="5">
        <v>3</v>
      </c>
      <c r="AC12" s="5">
        <v>6</v>
      </c>
      <c r="AD12" s="5">
        <v>9</v>
      </c>
      <c r="AF12" s="5">
        <v>14</v>
      </c>
      <c r="AH12" s="5">
        <v>19</v>
      </c>
      <c r="AI12" s="5">
        <v>23</v>
      </c>
      <c r="AM12" s="5">
        <v>28</v>
      </c>
      <c r="AV12" s="5">
        <v>10</v>
      </c>
      <c r="AW12" s="5">
        <v>3</v>
      </c>
      <c r="AX12" s="5">
        <v>16</v>
      </c>
      <c r="AZ12" s="5">
        <v>17</v>
      </c>
      <c r="BB12" s="5">
        <v>4</v>
      </c>
      <c r="BC12" s="1" t="s">
        <v>16</v>
      </c>
      <c r="BD12" s="1" t="s">
        <v>58</v>
      </c>
    </row>
    <row r="13" spans="1:56" ht="15.6" x14ac:dyDescent="0.3">
      <c r="F13" s="21" t="s">
        <v>112</v>
      </c>
      <c r="G13" s="20">
        <v>3</v>
      </c>
      <c r="M13" s="5">
        <v>3</v>
      </c>
      <c r="N13" s="5">
        <v>3</v>
      </c>
      <c r="O13" s="5">
        <v>20</v>
      </c>
      <c r="Q13" s="5">
        <v>8</v>
      </c>
      <c r="R13" s="5">
        <v>7</v>
      </c>
      <c r="S13" s="5">
        <v>9</v>
      </c>
      <c r="T13" s="5">
        <v>3</v>
      </c>
      <c r="U13" s="5">
        <v>19</v>
      </c>
      <c r="V13" s="5">
        <v>10</v>
      </c>
      <c r="W13" s="51">
        <v>3</v>
      </c>
      <c r="X13" s="5">
        <v>3</v>
      </c>
      <c r="Y13" s="5">
        <v>16</v>
      </c>
      <c r="Z13" s="5">
        <v>25</v>
      </c>
      <c r="AA13" s="5">
        <v>5</v>
      </c>
      <c r="AD13" s="5">
        <v>10</v>
      </c>
      <c r="AF13" s="5">
        <v>16</v>
      </c>
      <c r="AV13" s="5">
        <v>11</v>
      </c>
      <c r="AW13" s="5">
        <v>4</v>
      </c>
      <c r="AZ13" s="5">
        <v>18</v>
      </c>
      <c r="BB13" s="5">
        <v>5</v>
      </c>
      <c r="BC13" s="1" t="s">
        <v>17</v>
      </c>
      <c r="BD13" s="1" t="s">
        <v>59</v>
      </c>
    </row>
    <row r="14" spans="1:56" ht="15.6" x14ac:dyDescent="0.3">
      <c r="F14" s="21" t="s">
        <v>113</v>
      </c>
      <c r="G14" s="20">
        <v>4</v>
      </c>
      <c r="M14" s="5">
        <v>4</v>
      </c>
      <c r="N14" s="5">
        <v>4</v>
      </c>
      <c r="O14" s="5">
        <v>24</v>
      </c>
      <c r="Q14" s="5">
        <v>12</v>
      </c>
      <c r="R14" s="5">
        <v>10</v>
      </c>
      <c r="S14" s="5">
        <v>13</v>
      </c>
      <c r="T14" s="5">
        <v>4</v>
      </c>
      <c r="U14" s="5">
        <v>20</v>
      </c>
      <c r="V14" s="5">
        <v>12</v>
      </c>
      <c r="W14" s="51">
        <v>4</v>
      </c>
      <c r="X14" s="5">
        <v>4</v>
      </c>
      <c r="AA14" s="5">
        <v>6</v>
      </c>
      <c r="AV14" s="5">
        <v>14</v>
      </c>
      <c r="AW14" s="5">
        <v>5</v>
      </c>
      <c r="AZ14" s="5">
        <v>19</v>
      </c>
      <c r="BB14" s="5">
        <v>6</v>
      </c>
      <c r="BC14" s="1" t="s">
        <v>18</v>
      </c>
      <c r="BD14" s="1" t="s">
        <v>60</v>
      </c>
    </row>
    <row r="15" spans="1:56" ht="15.6" x14ac:dyDescent="0.3">
      <c r="F15" s="21" t="s">
        <v>114</v>
      </c>
      <c r="G15" s="20">
        <v>5</v>
      </c>
      <c r="M15" s="5">
        <v>5</v>
      </c>
      <c r="N15" s="5">
        <v>5</v>
      </c>
      <c r="O15" s="5">
        <v>25</v>
      </c>
      <c r="Q15" s="5">
        <v>17</v>
      </c>
      <c r="R15" s="5">
        <v>11</v>
      </c>
      <c r="S15" s="5">
        <v>18</v>
      </c>
      <c r="T15" s="5">
        <v>5</v>
      </c>
      <c r="U15" s="5">
        <v>21</v>
      </c>
      <c r="V15" s="5">
        <v>13</v>
      </c>
      <c r="W15" s="51">
        <v>5</v>
      </c>
      <c r="X15" s="5">
        <v>5</v>
      </c>
      <c r="AA15" s="5">
        <v>7</v>
      </c>
      <c r="AV15" s="5">
        <v>15</v>
      </c>
      <c r="AW15" s="5">
        <v>6</v>
      </c>
      <c r="BB15" s="5">
        <v>7</v>
      </c>
      <c r="BC15" s="1" t="s">
        <v>19</v>
      </c>
      <c r="BD15" s="1" t="s">
        <v>61</v>
      </c>
    </row>
    <row r="16" spans="1:56" ht="15.6" x14ac:dyDescent="0.3">
      <c r="F16" s="21" t="s">
        <v>115</v>
      </c>
      <c r="G16" s="20">
        <v>6</v>
      </c>
      <c r="M16" s="5">
        <v>6</v>
      </c>
      <c r="N16" s="5">
        <v>6</v>
      </c>
      <c r="Q16" s="5">
        <v>20</v>
      </c>
      <c r="R16" s="5">
        <v>14</v>
      </c>
      <c r="S16" s="5">
        <v>22</v>
      </c>
      <c r="T16" s="5">
        <v>6</v>
      </c>
      <c r="U16" s="5">
        <v>22</v>
      </c>
      <c r="V16" s="5">
        <v>14</v>
      </c>
      <c r="W16" s="51">
        <v>6</v>
      </c>
      <c r="X16" s="5">
        <v>6</v>
      </c>
      <c r="AA16" s="5">
        <v>9</v>
      </c>
      <c r="AV16" s="5">
        <v>19</v>
      </c>
      <c r="AW16" s="5">
        <v>8</v>
      </c>
      <c r="BB16" s="5">
        <v>8</v>
      </c>
      <c r="BC16" s="1" t="s">
        <v>20</v>
      </c>
      <c r="BD16" s="1" t="s">
        <v>62</v>
      </c>
    </row>
    <row r="17" spans="6:56" ht="15.6" x14ac:dyDescent="0.3">
      <c r="F17" s="21" t="s">
        <v>116</v>
      </c>
      <c r="G17" s="20">
        <v>7</v>
      </c>
      <c r="M17" s="5">
        <v>7</v>
      </c>
      <c r="N17" s="5">
        <v>7</v>
      </c>
      <c r="Q17" s="5">
        <v>21</v>
      </c>
      <c r="R17" s="5">
        <v>15</v>
      </c>
      <c r="S17" s="5">
        <v>27</v>
      </c>
      <c r="T17" s="5">
        <v>7</v>
      </c>
      <c r="U17" s="5">
        <v>23</v>
      </c>
      <c r="V17" s="5">
        <v>16</v>
      </c>
      <c r="W17" s="51">
        <v>7</v>
      </c>
      <c r="X17" s="5">
        <v>8</v>
      </c>
      <c r="AA17" s="5">
        <v>10</v>
      </c>
      <c r="AW17" s="5">
        <v>9</v>
      </c>
      <c r="BB17" s="5">
        <v>9</v>
      </c>
      <c r="BC17" s="1" t="s">
        <v>21</v>
      </c>
      <c r="BD17" s="1" t="s">
        <v>63</v>
      </c>
    </row>
    <row r="18" spans="6:56" ht="15.6" x14ac:dyDescent="0.3">
      <c r="F18" s="21" t="s">
        <v>117</v>
      </c>
      <c r="G18" s="20">
        <v>8</v>
      </c>
      <c r="M18" s="5">
        <v>8</v>
      </c>
      <c r="N18" s="5">
        <v>8</v>
      </c>
      <c r="Q18" s="5">
        <v>24</v>
      </c>
      <c r="R18" s="5">
        <v>16</v>
      </c>
      <c r="T18" s="5">
        <v>8</v>
      </c>
      <c r="U18" s="5">
        <v>24</v>
      </c>
      <c r="V18" s="5">
        <v>17</v>
      </c>
      <c r="X18" s="5">
        <v>9</v>
      </c>
      <c r="AA18" s="5">
        <v>11</v>
      </c>
      <c r="AW18" s="5">
        <v>10</v>
      </c>
      <c r="BB18" s="5">
        <v>10</v>
      </c>
      <c r="BC18" s="1" t="s">
        <v>22</v>
      </c>
      <c r="BD18" s="1" t="s">
        <v>64</v>
      </c>
    </row>
    <row r="19" spans="6:56" ht="15.6" x14ac:dyDescent="0.3">
      <c r="F19" s="21" t="s">
        <v>118</v>
      </c>
      <c r="G19" s="20">
        <v>9</v>
      </c>
      <c r="M19" s="5">
        <v>9</v>
      </c>
      <c r="N19" s="5">
        <v>9</v>
      </c>
      <c r="Q19" s="5">
        <v>26</v>
      </c>
      <c r="R19" s="5">
        <v>19</v>
      </c>
      <c r="T19" s="5">
        <v>9</v>
      </c>
      <c r="U19" s="5">
        <v>26</v>
      </c>
      <c r="V19" s="5">
        <v>18</v>
      </c>
      <c r="X19" s="5">
        <v>10</v>
      </c>
      <c r="AA19" s="5">
        <v>13</v>
      </c>
      <c r="AW19" s="5">
        <v>12</v>
      </c>
      <c r="BB19" s="5">
        <v>11</v>
      </c>
      <c r="BC19" s="1" t="s">
        <v>23</v>
      </c>
      <c r="BD19" s="1" t="s">
        <v>65</v>
      </c>
    </row>
    <row r="20" spans="6:56" ht="15.6" x14ac:dyDescent="0.3">
      <c r="F20" s="21" t="s">
        <v>119</v>
      </c>
      <c r="G20" s="20">
        <v>10</v>
      </c>
      <c r="M20" s="5">
        <v>10</v>
      </c>
      <c r="N20" s="5">
        <v>10</v>
      </c>
      <c r="Q20" s="145">
        <v>29</v>
      </c>
      <c r="R20" s="5">
        <v>23</v>
      </c>
      <c r="T20" s="5">
        <v>10</v>
      </c>
      <c r="U20" s="5">
        <v>27</v>
      </c>
      <c r="V20" s="5">
        <v>19</v>
      </c>
      <c r="X20" s="5">
        <v>12</v>
      </c>
      <c r="AA20" s="5">
        <v>14</v>
      </c>
      <c r="AW20" s="5">
        <v>13</v>
      </c>
      <c r="BB20" s="5">
        <v>12</v>
      </c>
      <c r="BC20" s="1" t="s">
        <v>24</v>
      </c>
      <c r="BD20" s="1" t="s">
        <v>66</v>
      </c>
    </row>
    <row r="21" spans="6:56" ht="15.6" x14ac:dyDescent="0.3">
      <c r="F21" s="21" t="s">
        <v>120</v>
      </c>
      <c r="G21" s="20">
        <v>11</v>
      </c>
      <c r="M21" s="5">
        <v>11</v>
      </c>
      <c r="N21" s="5">
        <v>12</v>
      </c>
      <c r="R21" s="5">
        <v>25</v>
      </c>
      <c r="T21" s="5">
        <v>11</v>
      </c>
      <c r="U21" s="5">
        <v>28</v>
      </c>
      <c r="V21" s="5">
        <v>21</v>
      </c>
      <c r="X21" s="5">
        <v>13</v>
      </c>
      <c r="AA21" s="5">
        <v>15</v>
      </c>
      <c r="AW21" s="5">
        <v>21</v>
      </c>
      <c r="BB21" s="5">
        <v>13</v>
      </c>
      <c r="BC21" s="1" t="s">
        <v>25</v>
      </c>
      <c r="BD21" s="1" t="s">
        <v>67</v>
      </c>
    </row>
    <row r="22" spans="6:56" ht="15.6" x14ac:dyDescent="0.3">
      <c r="F22" s="21" t="s">
        <v>121</v>
      </c>
      <c r="G22" s="20">
        <v>12</v>
      </c>
      <c r="M22" s="5">
        <v>12</v>
      </c>
      <c r="N22" s="5">
        <v>13</v>
      </c>
      <c r="R22" s="5">
        <v>28</v>
      </c>
      <c r="T22" s="5">
        <v>12</v>
      </c>
      <c r="U22" s="5">
        <v>29</v>
      </c>
      <c r="V22" s="5">
        <v>22</v>
      </c>
      <c r="X22" s="5">
        <v>17</v>
      </c>
      <c r="AA22" s="5">
        <v>16</v>
      </c>
      <c r="AW22" s="5">
        <v>22</v>
      </c>
      <c r="BB22" s="5">
        <v>14</v>
      </c>
      <c r="BC22" s="1" t="s">
        <v>26</v>
      </c>
      <c r="BD22" s="1" t="s">
        <v>68</v>
      </c>
    </row>
    <row r="23" spans="6:56" ht="15.6" x14ac:dyDescent="0.3">
      <c r="F23" s="21" t="s">
        <v>122</v>
      </c>
      <c r="G23" s="20">
        <v>13</v>
      </c>
      <c r="M23" s="5">
        <v>13</v>
      </c>
      <c r="N23" s="5">
        <v>14</v>
      </c>
      <c r="T23" s="5">
        <v>13</v>
      </c>
      <c r="V23" s="5">
        <v>23</v>
      </c>
      <c r="X23" s="5">
        <v>18</v>
      </c>
      <c r="AA23" s="5">
        <v>18</v>
      </c>
      <c r="AW23" s="5">
        <v>23</v>
      </c>
      <c r="BB23" s="5">
        <v>15</v>
      </c>
      <c r="BC23" s="1" t="s">
        <v>50</v>
      </c>
      <c r="BD23" s="1" t="s">
        <v>69</v>
      </c>
    </row>
    <row r="24" spans="6:56" ht="15.6" x14ac:dyDescent="0.3">
      <c r="F24" s="21" t="s">
        <v>123</v>
      </c>
      <c r="G24" s="20">
        <v>14</v>
      </c>
      <c r="M24" s="5">
        <v>14</v>
      </c>
      <c r="N24" s="5">
        <v>16</v>
      </c>
      <c r="T24" s="5">
        <v>14</v>
      </c>
      <c r="V24" s="5">
        <v>26</v>
      </c>
      <c r="X24" s="5">
        <v>19</v>
      </c>
      <c r="AA24" s="5">
        <v>19</v>
      </c>
      <c r="BB24" s="5">
        <v>16</v>
      </c>
      <c r="BC24" s="1" t="s">
        <v>73</v>
      </c>
      <c r="BD24" s="1" t="s">
        <v>85</v>
      </c>
    </row>
    <row r="25" spans="6:56" ht="15.6" x14ac:dyDescent="0.3">
      <c r="F25" s="21" t="s">
        <v>124</v>
      </c>
      <c r="G25" s="20">
        <v>15</v>
      </c>
      <c r="M25" s="5">
        <v>15</v>
      </c>
      <c r="N25" s="5">
        <v>17</v>
      </c>
      <c r="T25" s="5">
        <v>15</v>
      </c>
      <c r="V25" s="5">
        <v>27</v>
      </c>
      <c r="X25" s="5">
        <v>20</v>
      </c>
      <c r="AA25" s="5">
        <v>22</v>
      </c>
      <c r="BB25" s="5">
        <v>17</v>
      </c>
      <c r="BC25" s="1" t="s">
        <v>74</v>
      </c>
      <c r="BD25" s="1" t="s">
        <v>86</v>
      </c>
    </row>
    <row r="26" spans="6:56" ht="15.6" x14ac:dyDescent="0.3">
      <c r="F26" s="21" t="s">
        <v>126</v>
      </c>
      <c r="G26" s="20">
        <v>16</v>
      </c>
      <c r="M26" s="5">
        <v>16</v>
      </c>
      <c r="N26" s="5">
        <v>18</v>
      </c>
      <c r="T26" s="5">
        <v>16</v>
      </c>
      <c r="V26" s="5">
        <v>28</v>
      </c>
      <c r="X26" s="5">
        <v>21</v>
      </c>
      <c r="AA26" s="5">
        <v>23</v>
      </c>
      <c r="BB26" s="5">
        <v>18</v>
      </c>
      <c r="BC26" s="1" t="s">
        <v>75</v>
      </c>
      <c r="BD26" s="1" t="s">
        <v>87</v>
      </c>
    </row>
    <row r="27" spans="6:56" ht="15.6" x14ac:dyDescent="0.3">
      <c r="F27" s="21" t="s">
        <v>127</v>
      </c>
      <c r="G27" s="20">
        <v>17</v>
      </c>
      <c r="M27" s="5">
        <v>17</v>
      </c>
      <c r="N27" s="5">
        <v>19</v>
      </c>
      <c r="V27" s="5">
        <v>29</v>
      </c>
      <c r="X27" s="5">
        <v>22</v>
      </c>
      <c r="AA27" s="5">
        <v>27</v>
      </c>
      <c r="BB27" s="5">
        <v>19</v>
      </c>
      <c r="BC27" s="1" t="s">
        <v>76</v>
      </c>
      <c r="BD27" s="1" t="s">
        <v>88</v>
      </c>
    </row>
    <row r="28" spans="6:56" ht="15.6" x14ac:dyDescent="0.3">
      <c r="F28" s="21" t="s">
        <v>128</v>
      </c>
      <c r="G28" s="20">
        <v>18</v>
      </c>
      <c r="M28" s="5">
        <v>18</v>
      </c>
      <c r="N28" s="5">
        <v>21</v>
      </c>
      <c r="X28" s="5">
        <v>23</v>
      </c>
      <c r="AA28" s="5">
        <v>28</v>
      </c>
      <c r="BB28" s="5">
        <v>20</v>
      </c>
      <c r="BC28" s="1" t="s">
        <v>51</v>
      </c>
      <c r="BD28" s="1" t="s">
        <v>70</v>
      </c>
    </row>
    <row r="29" spans="6:56" ht="15.6" x14ac:dyDescent="0.3">
      <c r="F29" s="21" t="s">
        <v>129</v>
      </c>
      <c r="G29" s="20">
        <v>19</v>
      </c>
      <c r="M29" s="5">
        <v>19</v>
      </c>
      <c r="N29" s="5">
        <v>22</v>
      </c>
      <c r="X29" s="5">
        <v>24</v>
      </c>
      <c r="BB29" s="5">
        <v>21</v>
      </c>
      <c r="BC29" s="1" t="s">
        <v>77</v>
      </c>
      <c r="BD29" s="1" t="s">
        <v>89</v>
      </c>
    </row>
    <row r="30" spans="6:56" ht="15.6" x14ac:dyDescent="0.3">
      <c r="F30" s="21" t="s">
        <v>125</v>
      </c>
      <c r="G30" s="20">
        <v>20</v>
      </c>
      <c r="M30" s="5">
        <v>20</v>
      </c>
      <c r="N30" s="5">
        <v>23</v>
      </c>
      <c r="X30" s="5">
        <v>26</v>
      </c>
      <c r="BB30" s="5">
        <v>22</v>
      </c>
      <c r="BC30" s="1" t="s">
        <v>78</v>
      </c>
      <c r="BD30" s="1" t="s">
        <v>90</v>
      </c>
    </row>
    <row r="31" spans="6:56" ht="15.6" x14ac:dyDescent="0.3">
      <c r="F31" s="21" t="s">
        <v>130</v>
      </c>
      <c r="G31" s="20">
        <v>21</v>
      </c>
      <c r="M31" s="5">
        <v>21</v>
      </c>
      <c r="N31" s="5">
        <v>26</v>
      </c>
      <c r="X31" s="5">
        <v>27</v>
      </c>
      <c r="BB31" s="5">
        <v>23</v>
      </c>
      <c r="BC31" s="1" t="s">
        <v>79</v>
      </c>
      <c r="BD31" s="1" t="s">
        <v>91</v>
      </c>
    </row>
    <row r="32" spans="6:56" ht="15.6" x14ac:dyDescent="0.3">
      <c r="F32" s="21" t="s">
        <v>131</v>
      </c>
      <c r="G32" s="20">
        <v>22</v>
      </c>
      <c r="M32" s="5">
        <v>22</v>
      </c>
      <c r="N32" s="5">
        <v>27</v>
      </c>
      <c r="X32" s="5">
        <v>28</v>
      </c>
      <c r="BB32" s="5">
        <v>24</v>
      </c>
      <c r="BC32" s="1" t="s">
        <v>80</v>
      </c>
      <c r="BD32" s="1" t="s">
        <v>92</v>
      </c>
    </row>
    <row r="33" spans="6:56" ht="15.6" x14ac:dyDescent="0.3">
      <c r="F33" s="21" t="s">
        <v>132</v>
      </c>
      <c r="G33" s="20">
        <v>23</v>
      </c>
      <c r="M33" s="5">
        <v>23</v>
      </c>
      <c r="N33" s="5">
        <v>28</v>
      </c>
      <c r="X33" s="145">
        <v>29</v>
      </c>
      <c r="BB33" s="5">
        <v>25</v>
      </c>
      <c r="BC33" s="1" t="s">
        <v>81</v>
      </c>
      <c r="BD33" s="1" t="s">
        <v>93</v>
      </c>
    </row>
    <row r="34" spans="6:56" ht="15.6" x14ac:dyDescent="0.3">
      <c r="F34" s="21" t="s">
        <v>133</v>
      </c>
      <c r="G34" s="20">
        <v>24</v>
      </c>
      <c r="M34" s="5">
        <v>24</v>
      </c>
      <c r="N34" s="5">
        <v>29</v>
      </c>
      <c r="BB34" s="5">
        <v>26</v>
      </c>
      <c r="BC34" s="1" t="s">
        <v>82</v>
      </c>
      <c r="BD34" s="1" t="s">
        <v>94</v>
      </c>
    </row>
    <row r="35" spans="6:56" ht="15.6" x14ac:dyDescent="0.3">
      <c r="F35" s="21" t="s">
        <v>134</v>
      </c>
      <c r="G35" s="20">
        <v>25</v>
      </c>
      <c r="M35" s="5">
        <v>25</v>
      </c>
      <c r="BB35" s="5">
        <v>27</v>
      </c>
      <c r="BC35" s="1" t="s">
        <v>83</v>
      </c>
      <c r="BD35" s="1" t="s">
        <v>95</v>
      </c>
    </row>
    <row r="36" spans="6:56" ht="15.6" x14ac:dyDescent="0.3">
      <c r="F36" s="21" t="s">
        <v>135</v>
      </c>
      <c r="G36" s="20">
        <v>26</v>
      </c>
      <c r="M36" s="5">
        <v>26</v>
      </c>
      <c r="BB36" s="5">
        <v>28</v>
      </c>
      <c r="BC36" s="1" t="s">
        <v>84</v>
      </c>
      <c r="BD36" s="1" t="s">
        <v>96</v>
      </c>
    </row>
    <row r="37" spans="6:56" ht="15.6" x14ac:dyDescent="0.3">
      <c r="F37" s="21" t="s">
        <v>136</v>
      </c>
      <c r="G37" s="20">
        <v>27</v>
      </c>
      <c r="M37" s="5">
        <v>27</v>
      </c>
      <c r="BB37" s="145">
        <v>29</v>
      </c>
      <c r="BC37" s="190" t="s">
        <v>1538</v>
      </c>
      <c r="BD37" s="190" t="s">
        <v>1539</v>
      </c>
    </row>
    <row r="38" spans="6:56" ht="16.2" thickBot="1" x14ac:dyDescent="0.35">
      <c r="F38" s="22" t="s">
        <v>137</v>
      </c>
      <c r="G38" s="26">
        <v>28</v>
      </c>
      <c r="M38" s="5">
        <v>28</v>
      </c>
    </row>
    <row r="39" spans="6:56" ht="16.2" thickBot="1" x14ac:dyDescent="0.35">
      <c r="F39" s="22" t="s">
        <v>1541</v>
      </c>
      <c r="G39" s="26">
        <v>29</v>
      </c>
      <c r="M39" s="5">
        <v>29</v>
      </c>
    </row>
  </sheetData>
  <mergeCells count="9">
    <mergeCell ref="BC7:BD7"/>
    <mergeCell ref="BB7:BB8"/>
    <mergeCell ref="F2:G3"/>
    <mergeCell ref="A10:A11"/>
    <mergeCell ref="A6:A7"/>
    <mergeCell ref="B9:C9"/>
    <mergeCell ref="B5:C5"/>
    <mergeCell ref="I2:K3"/>
    <mergeCell ref="M7:AZ8"/>
  </mergeCells>
  <phoneticPr fontId="21" type="noConversion"/>
  <dataValidations count="3">
    <dataValidation type="list" allowBlank="1" showInputMessage="1" showErrorMessage="1" sqref="B3" xr:uid="{4A47803B-12FA-4E64-9C2F-AD836ACB52F1}">
      <formula1>$F$11:$F$38</formula1>
    </dataValidation>
    <dataValidation type="list" allowBlank="1" showInputMessage="1" showErrorMessage="1" sqref="C3" xr:uid="{E825EF9F-2C88-4DC9-9F29-76CC2EED1E3E}">
      <formula1>$F$5:$F$6</formula1>
    </dataValidation>
    <dataValidation type="list" allowBlank="1" showInputMessage="1" showErrorMessage="1" sqref="D3" xr:uid="{2DB1612C-5216-44F1-8E5F-C6E828110153}">
      <formula1>$G$5:$G$6</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4F39E-448C-44BF-B926-231EA56AA65F}">
  <sheetPr codeName="Foglio2"/>
  <dimension ref="A1:D669"/>
  <sheetViews>
    <sheetView tabSelected="1" topLeftCell="A518" zoomScale="76" zoomScaleNormal="76" workbookViewId="0">
      <selection activeCell="A536" sqref="A536"/>
    </sheetView>
  </sheetViews>
  <sheetFormatPr defaultRowHeight="14.4" x14ac:dyDescent="0.3"/>
  <cols>
    <col min="1" max="1" width="18.5546875" customWidth="1"/>
    <col min="2" max="2" width="106" customWidth="1"/>
    <col min="3" max="3" width="104" customWidth="1"/>
    <col min="4" max="4" width="70.5546875" customWidth="1"/>
    <col min="5" max="5" width="13" customWidth="1"/>
    <col min="9" max="9" width="25.44140625" bestFit="1" customWidth="1"/>
    <col min="13" max="15" width="10.44140625" customWidth="1"/>
  </cols>
  <sheetData>
    <row r="1" spans="1:3" ht="16.95" customHeight="1" x14ac:dyDescent="0.35">
      <c r="A1" s="161" t="s">
        <v>1388</v>
      </c>
      <c r="B1" s="160" t="s">
        <v>1209</v>
      </c>
      <c r="C1" s="160" t="s">
        <v>1209</v>
      </c>
    </row>
    <row r="2" spans="1:3" x14ac:dyDescent="0.3">
      <c r="A2" s="5" t="s">
        <v>1389</v>
      </c>
      <c r="B2" s="5" t="s">
        <v>1505</v>
      </c>
      <c r="C2" s="5" t="s">
        <v>1395</v>
      </c>
    </row>
    <row r="3" spans="1:3" ht="36.6" x14ac:dyDescent="0.7">
      <c r="A3" s="183" t="s">
        <v>1390</v>
      </c>
      <c r="B3" s="184" t="s">
        <v>35</v>
      </c>
      <c r="C3" s="184" t="s">
        <v>165</v>
      </c>
    </row>
    <row r="4" spans="1:3" ht="28.8" x14ac:dyDescent="0.3">
      <c r="A4" s="109" t="s">
        <v>168</v>
      </c>
      <c r="B4" s="49" t="s">
        <v>1218</v>
      </c>
      <c r="C4" s="49" t="s">
        <v>1219</v>
      </c>
    </row>
    <row r="5" spans="1:3" x14ac:dyDescent="0.3">
      <c r="A5" s="34" t="s">
        <v>168</v>
      </c>
      <c r="B5" s="51" t="s">
        <v>174</v>
      </c>
      <c r="C5" s="51" t="s">
        <v>402</v>
      </c>
    </row>
    <row r="6" spans="1:3" x14ac:dyDescent="0.3">
      <c r="A6" s="34" t="s">
        <v>0</v>
      </c>
      <c r="B6" s="51" t="s">
        <v>173</v>
      </c>
      <c r="C6" s="51" t="s">
        <v>403</v>
      </c>
    </row>
    <row r="7" spans="1:3" ht="28.8" x14ac:dyDescent="0.3">
      <c r="A7" s="34" t="s">
        <v>168</v>
      </c>
      <c r="B7" s="37" t="s">
        <v>175</v>
      </c>
      <c r="C7" s="37" t="s">
        <v>404</v>
      </c>
    </row>
    <row r="8" spans="1:3" ht="57.6" x14ac:dyDescent="0.3">
      <c r="A8" s="34" t="s">
        <v>168</v>
      </c>
      <c r="B8" s="37" t="s">
        <v>176</v>
      </c>
      <c r="C8" s="37" t="s">
        <v>405</v>
      </c>
    </row>
    <row r="9" spans="1:3" ht="28.8" x14ac:dyDescent="0.3">
      <c r="A9" s="34" t="s">
        <v>168</v>
      </c>
      <c r="B9" s="37" t="s">
        <v>177</v>
      </c>
      <c r="C9" s="37" t="s">
        <v>406</v>
      </c>
    </row>
    <row r="10" spans="1:3" ht="57.6" x14ac:dyDescent="0.3">
      <c r="A10" s="34" t="s">
        <v>168</v>
      </c>
      <c r="B10" s="37" t="s">
        <v>178</v>
      </c>
      <c r="C10" s="37" t="s">
        <v>407</v>
      </c>
    </row>
    <row r="11" spans="1:3" ht="43.2" x14ac:dyDescent="0.3">
      <c r="A11" s="34" t="s">
        <v>168</v>
      </c>
      <c r="B11" s="37" t="s">
        <v>179</v>
      </c>
      <c r="C11" s="37" t="s">
        <v>408</v>
      </c>
    </row>
    <row r="12" spans="1:3" ht="43.2" x14ac:dyDescent="0.3">
      <c r="A12" s="34" t="s">
        <v>168</v>
      </c>
      <c r="B12" s="37" t="s">
        <v>180</v>
      </c>
      <c r="C12" s="37" t="s">
        <v>409</v>
      </c>
    </row>
    <row r="13" spans="1:3" ht="28.8" x14ac:dyDescent="0.3">
      <c r="A13" s="34" t="s">
        <v>168</v>
      </c>
      <c r="B13" s="37" t="s">
        <v>181</v>
      </c>
      <c r="C13" s="37" t="s">
        <v>410</v>
      </c>
    </row>
    <row r="14" spans="1:3" ht="28.8" x14ac:dyDescent="0.3">
      <c r="A14" s="34" t="s">
        <v>168</v>
      </c>
      <c r="B14" s="37" t="s">
        <v>182</v>
      </c>
      <c r="C14" s="37" t="s">
        <v>411</v>
      </c>
    </row>
    <row r="15" spans="1:3" x14ac:dyDescent="0.3">
      <c r="A15" s="34" t="s">
        <v>168</v>
      </c>
      <c r="B15" s="37" t="s">
        <v>183</v>
      </c>
      <c r="C15" s="37" t="s">
        <v>412</v>
      </c>
    </row>
    <row r="16" spans="1:3" ht="43.2" x14ac:dyDescent="0.3">
      <c r="A16" s="34" t="s">
        <v>168</v>
      </c>
      <c r="B16" s="52" t="s">
        <v>184</v>
      </c>
      <c r="C16" s="52" t="s">
        <v>413</v>
      </c>
    </row>
    <row r="17" spans="1:3" ht="28.8" x14ac:dyDescent="0.3">
      <c r="A17" s="34" t="s">
        <v>168</v>
      </c>
      <c r="B17" s="52" t="s">
        <v>185</v>
      </c>
      <c r="C17" s="52" t="s">
        <v>414</v>
      </c>
    </row>
    <row r="18" spans="1:3" ht="28.8" x14ac:dyDescent="0.3">
      <c r="A18" s="34" t="s">
        <v>168</v>
      </c>
      <c r="B18" s="53" t="s">
        <v>1220</v>
      </c>
      <c r="C18" s="53" t="s">
        <v>1221</v>
      </c>
    </row>
    <row r="19" spans="1:3" x14ac:dyDescent="0.3">
      <c r="A19" s="34" t="s">
        <v>168</v>
      </c>
      <c r="B19" s="37" t="s">
        <v>186</v>
      </c>
      <c r="C19" s="37" t="s">
        <v>415</v>
      </c>
    </row>
    <row r="20" spans="1:3" ht="28.8" x14ac:dyDescent="0.3">
      <c r="A20" s="34" t="s">
        <v>168</v>
      </c>
      <c r="B20" s="53" t="s">
        <v>1222</v>
      </c>
      <c r="C20" s="53" t="s">
        <v>1223</v>
      </c>
    </row>
    <row r="21" spans="1:3" ht="28.8" x14ac:dyDescent="0.3">
      <c r="A21" s="34" t="s">
        <v>168</v>
      </c>
      <c r="B21" s="37" t="s">
        <v>187</v>
      </c>
      <c r="C21" s="37" t="s">
        <v>417</v>
      </c>
    </row>
    <row r="22" spans="1:3" ht="28.8" x14ac:dyDescent="0.3">
      <c r="A22" s="34" t="s">
        <v>168</v>
      </c>
      <c r="B22" s="37" t="s">
        <v>188</v>
      </c>
      <c r="C22" s="37" t="s">
        <v>418</v>
      </c>
    </row>
    <row r="23" spans="1:3" ht="21" x14ac:dyDescent="0.3">
      <c r="A23" s="34" t="s">
        <v>168</v>
      </c>
      <c r="B23" s="81" t="s">
        <v>1224</v>
      </c>
      <c r="C23" s="81" t="s">
        <v>1225</v>
      </c>
    </row>
    <row r="24" spans="1:3" ht="18" x14ac:dyDescent="0.3">
      <c r="A24" s="34" t="s">
        <v>168</v>
      </c>
      <c r="B24" s="39" t="s">
        <v>1226</v>
      </c>
      <c r="C24" s="39" t="s">
        <v>1227</v>
      </c>
    </row>
    <row r="25" spans="1:3" x14ac:dyDescent="0.3">
      <c r="A25" s="34" t="s">
        <v>168</v>
      </c>
      <c r="B25" s="45" t="s">
        <v>189</v>
      </c>
      <c r="C25" s="45" t="s">
        <v>518</v>
      </c>
    </row>
    <row r="26" spans="1:3" ht="18" x14ac:dyDescent="0.3">
      <c r="A26" s="34" t="s">
        <v>168</v>
      </c>
      <c r="B26" s="83" t="s">
        <v>1228</v>
      </c>
      <c r="C26" s="83" t="s">
        <v>1229</v>
      </c>
    </row>
    <row r="27" spans="1:3" x14ac:dyDescent="0.3">
      <c r="A27" s="34" t="s">
        <v>192</v>
      </c>
      <c r="B27" s="84" t="e">
        <f>Tabelle!B4:H8</f>
        <v>#VALUE!</v>
      </c>
      <c r="C27" s="84" t="e">
        <f>Tabelle!B4:H8</f>
        <v>#VALUE!</v>
      </c>
    </row>
    <row r="28" spans="1:3" x14ac:dyDescent="0.3">
      <c r="A28" s="34" t="s">
        <v>196</v>
      </c>
      <c r="B28" s="84" t="e">
        <f>Tabelle!B4:H8</f>
        <v>#VALUE!</v>
      </c>
      <c r="C28" s="84" t="e">
        <f>Tabelle!B4:H8</f>
        <v>#VALUE!</v>
      </c>
    </row>
    <row r="29" spans="1:3" x14ac:dyDescent="0.3">
      <c r="A29" s="34" t="s">
        <v>226</v>
      </c>
      <c r="B29" s="84" t="e">
        <f>Tabelle!B4:H14</f>
        <v>#VALUE!</v>
      </c>
      <c r="C29" s="84" t="e">
        <f>Tabelle!B4:H14</f>
        <v>#VALUE!</v>
      </c>
    </row>
    <row r="30" spans="1:3" x14ac:dyDescent="0.3">
      <c r="A30" s="34" t="s">
        <v>168</v>
      </c>
      <c r="B30" s="85" t="s">
        <v>1481</v>
      </c>
      <c r="C30" s="85" t="s">
        <v>1482</v>
      </c>
    </row>
    <row r="31" spans="1:3" x14ac:dyDescent="0.3">
      <c r="A31" s="34" t="s">
        <v>168</v>
      </c>
      <c r="B31" s="84" t="e">
        <f>Tabelle!B59:D60</f>
        <v>#VALUE!</v>
      </c>
      <c r="C31" s="84" t="e">
        <f>Tabelle!B59:D60</f>
        <v>#VALUE!</v>
      </c>
    </row>
    <row r="32" spans="1:3" x14ac:dyDescent="0.3">
      <c r="A32" s="34" t="s">
        <v>168</v>
      </c>
      <c r="B32" s="85" t="s">
        <v>1490</v>
      </c>
      <c r="C32" s="85" t="s">
        <v>1489</v>
      </c>
    </row>
    <row r="33" spans="1:3" x14ac:dyDescent="0.3">
      <c r="A33" s="34" t="s">
        <v>168</v>
      </c>
      <c r="B33" s="94" t="s">
        <v>416</v>
      </c>
      <c r="C33" s="94" t="s">
        <v>443</v>
      </c>
    </row>
    <row r="34" spans="1:3" x14ac:dyDescent="0.3">
      <c r="A34" s="34" t="s">
        <v>168</v>
      </c>
      <c r="B34" s="86" t="s">
        <v>227</v>
      </c>
      <c r="C34" s="86" t="s">
        <v>519</v>
      </c>
    </row>
    <row r="35" spans="1:3" ht="13.5" customHeight="1" x14ac:dyDescent="0.3">
      <c r="A35" s="34" t="s">
        <v>168</v>
      </c>
      <c r="B35" s="87" t="s">
        <v>229</v>
      </c>
      <c r="C35" s="87" t="s">
        <v>419</v>
      </c>
    </row>
    <row r="36" spans="1:3" ht="86.4" x14ac:dyDescent="0.3">
      <c r="A36" s="34" t="s">
        <v>168</v>
      </c>
      <c r="B36" s="88" t="s">
        <v>424</v>
      </c>
      <c r="C36" s="88" t="s">
        <v>425</v>
      </c>
    </row>
    <row r="37" spans="1:3" x14ac:dyDescent="0.3">
      <c r="A37" s="34" t="s">
        <v>168</v>
      </c>
      <c r="B37" s="88" t="s">
        <v>421</v>
      </c>
      <c r="C37" s="88" t="s">
        <v>426</v>
      </c>
    </row>
    <row r="38" spans="1:3" x14ac:dyDescent="0.3">
      <c r="A38" s="34" t="s">
        <v>168</v>
      </c>
      <c r="B38" s="88" t="s">
        <v>422</v>
      </c>
      <c r="C38" s="88" t="s">
        <v>427</v>
      </c>
    </row>
    <row r="39" spans="1:3" x14ac:dyDescent="0.3">
      <c r="A39" s="34" t="s">
        <v>168</v>
      </c>
      <c r="B39" s="88" t="s">
        <v>423</v>
      </c>
      <c r="C39" s="88" t="s">
        <v>428</v>
      </c>
    </row>
    <row r="40" spans="1:3" x14ac:dyDescent="0.3">
      <c r="A40" s="34" t="s">
        <v>168</v>
      </c>
      <c r="B40" s="4" t="s">
        <v>420</v>
      </c>
      <c r="C40" s="4" t="s">
        <v>429</v>
      </c>
    </row>
    <row r="41" spans="1:3" x14ac:dyDescent="0.3">
      <c r="A41" s="34" t="s">
        <v>168</v>
      </c>
      <c r="B41" s="89" t="s">
        <v>228</v>
      </c>
      <c r="C41" s="89" t="s">
        <v>430</v>
      </c>
    </row>
    <row r="42" spans="1:3" x14ac:dyDescent="0.3">
      <c r="A42" s="34" t="s">
        <v>168</v>
      </c>
      <c r="B42" s="90" t="s">
        <v>230</v>
      </c>
      <c r="C42" s="90" t="s">
        <v>431</v>
      </c>
    </row>
    <row r="43" spans="1:3" ht="28.8" x14ac:dyDescent="0.3">
      <c r="A43" s="34" t="s">
        <v>168</v>
      </c>
      <c r="B43" s="91" t="s">
        <v>231</v>
      </c>
      <c r="C43" s="91" t="s">
        <v>437</v>
      </c>
    </row>
    <row r="44" spans="1:3" x14ac:dyDescent="0.3">
      <c r="A44" s="34" t="s">
        <v>168</v>
      </c>
      <c r="B44" s="91" t="s">
        <v>232</v>
      </c>
      <c r="C44" s="91" t="s">
        <v>438</v>
      </c>
    </row>
    <row r="45" spans="1:3" ht="72" x14ac:dyDescent="0.3">
      <c r="A45" s="34" t="s">
        <v>168</v>
      </c>
      <c r="B45" s="90" t="s">
        <v>233</v>
      </c>
      <c r="C45" s="90" t="s">
        <v>432</v>
      </c>
    </row>
    <row r="46" spans="1:3" x14ac:dyDescent="0.3">
      <c r="A46" s="34" t="s">
        <v>168</v>
      </c>
      <c r="B46" s="92" t="s">
        <v>234</v>
      </c>
      <c r="C46" s="92" t="s">
        <v>433</v>
      </c>
    </row>
    <row r="47" spans="1:3" x14ac:dyDescent="0.3">
      <c r="A47" s="34" t="s">
        <v>168</v>
      </c>
      <c r="B47" s="91" t="s">
        <v>235</v>
      </c>
      <c r="C47" s="91" t="s">
        <v>439</v>
      </c>
    </row>
    <row r="48" spans="1:3" x14ac:dyDescent="0.3">
      <c r="A48" s="34" t="s">
        <v>168</v>
      </c>
      <c r="B48" s="91" t="s">
        <v>236</v>
      </c>
      <c r="C48" s="91" t="s">
        <v>440</v>
      </c>
    </row>
    <row r="49" spans="1:3" x14ac:dyDescent="0.3">
      <c r="A49" s="34" t="s">
        <v>168</v>
      </c>
      <c r="B49" s="93" t="s">
        <v>237</v>
      </c>
      <c r="C49" s="93" t="s">
        <v>434</v>
      </c>
    </row>
    <row r="50" spans="1:3" x14ac:dyDescent="0.3">
      <c r="A50" s="34" t="s">
        <v>168</v>
      </c>
      <c r="B50" s="91" t="s">
        <v>238</v>
      </c>
      <c r="C50" s="91" t="s">
        <v>442</v>
      </c>
    </row>
    <row r="51" spans="1:3" x14ac:dyDescent="0.3">
      <c r="A51" s="34" t="s">
        <v>168</v>
      </c>
      <c r="B51" s="91" t="s">
        <v>239</v>
      </c>
      <c r="C51" s="91" t="s">
        <v>441</v>
      </c>
    </row>
    <row r="52" spans="1:3" x14ac:dyDescent="0.3">
      <c r="A52" s="34" t="s">
        <v>168</v>
      </c>
      <c r="B52" s="54" t="s">
        <v>240</v>
      </c>
      <c r="C52" s="54" t="s">
        <v>435</v>
      </c>
    </row>
    <row r="53" spans="1:3" ht="43.2" x14ac:dyDescent="0.3">
      <c r="A53" s="34" t="s">
        <v>168</v>
      </c>
      <c r="B53" s="37" t="s">
        <v>241</v>
      </c>
      <c r="C53" s="37" t="s">
        <v>436</v>
      </c>
    </row>
    <row r="54" spans="1:3" x14ac:dyDescent="0.3">
      <c r="A54" s="34" t="s">
        <v>168</v>
      </c>
      <c r="B54" s="95" t="s">
        <v>444</v>
      </c>
      <c r="C54" s="95" t="s">
        <v>444</v>
      </c>
    </row>
    <row r="55" spans="1:3" x14ac:dyDescent="0.3">
      <c r="A55" s="34" t="s">
        <v>168</v>
      </c>
      <c r="B55" s="54" t="s">
        <v>242</v>
      </c>
      <c r="C55" s="54" t="s">
        <v>446</v>
      </c>
    </row>
    <row r="56" spans="1:3" ht="43.2" x14ac:dyDescent="0.3">
      <c r="A56" s="34" t="s">
        <v>168</v>
      </c>
      <c r="B56" s="37" t="s">
        <v>243</v>
      </c>
      <c r="C56" s="37" t="s">
        <v>447</v>
      </c>
    </row>
    <row r="57" spans="1:3" x14ac:dyDescent="0.3">
      <c r="A57" s="34" t="s">
        <v>168</v>
      </c>
      <c r="B57" s="54" t="s">
        <v>244</v>
      </c>
      <c r="C57" s="54" t="s">
        <v>448</v>
      </c>
    </row>
    <row r="58" spans="1:3" x14ac:dyDescent="0.3">
      <c r="A58" s="34" t="s">
        <v>168</v>
      </c>
      <c r="B58" s="37" t="s">
        <v>245</v>
      </c>
      <c r="C58" s="37" t="s">
        <v>525</v>
      </c>
    </row>
    <row r="59" spans="1:3" x14ac:dyDescent="0.3">
      <c r="A59" s="34" t="s">
        <v>168</v>
      </c>
      <c r="B59" s="54" t="s">
        <v>246</v>
      </c>
      <c r="C59" s="54" t="s">
        <v>449</v>
      </c>
    </row>
    <row r="60" spans="1:3" ht="43.2" x14ac:dyDescent="0.3">
      <c r="A60" s="34" t="s">
        <v>168</v>
      </c>
      <c r="B60" s="37" t="s">
        <v>247</v>
      </c>
      <c r="C60" s="37" t="s">
        <v>450</v>
      </c>
    </row>
    <row r="61" spans="1:3" x14ac:dyDescent="0.3">
      <c r="A61" s="34" t="s">
        <v>168</v>
      </c>
      <c r="B61" s="54" t="s">
        <v>248</v>
      </c>
      <c r="C61" s="54" t="s">
        <v>451</v>
      </c>
    </row>
    <row r="62" spans="1:3" ht="43.2" x14ac:dyDescent="0.3">
      <c r="A62" s="34" t="s">
        <v>168</v>
      </c>
      <c r="B62" s="37" t="s">
        <v>249</v>
      </c>
      <c r="C62" s="37" t="s">
        <v>452</v>
      </c>
    </row>
    <row r="63" spans="1:3" x14ac:dyDescent="0.3">
      <c r="A63" s="34" t="s">
        <v>168</v>
      </c>
      <c r="B63" s="54" t="s">
        <v>250</v>
      </c>
      <c r="C63" s="54" t="s">
        <v>453</v>
      </c>
    </row>
    <row r="64" spans="1:3" x14ac:dyDescent="0.3">
      <c r="A64" s="34" t="s">
        <v>168</v>
      </c>
      <c r="B64" s="37" t="s">
        <v>251</v>
      </c>
      <c r="C64" s="37" t="s">
        <v>454</v>
      </c>
    </row>
    <row r="65" spans="1:3" x14ac:dyDescent="0.3">
      <c r="A65" s="34" t="s">
        <v>168</v>
      </c>
      <c r="B65" s="54" t="s">
        <v>252</v>
      </c>
      <c r="C65" s="54" t="s">
        <v>455</v>
      </c>
    </row>
    <row r="66" spans="1:3" x14ac:dyDescent="0.3">
      <c r="A66" s="34" t="s">
        <v>168</v>
      </c>
      <c r="B66" s="37" t="s">
        <v>253</v>
      </c>
      <c r="C66" s="37" t="s">
        <v>456</v>
      </c>
    </row>
    <row r="67" spans="1:3" x14ac:dyDescent="0.3">
      <c r="A67" s="34" t="s">
        <v>168</v>
      </c>
      <c r="B67" s="56" t="s">
        <v>445</v>
      </c>
      <c r="C67" s="56" t="s">
        <v>457</v>
      </c>
    </row>
    <row r="68" spans="1:3" x14ac:dyDescent="0.3">
      <c r="A68" s="34" t="s">
        <v>168</v>
      </c>
      <c r="B68" s="54" t="s">
        <v>246</v>
      </c>
      <c r="C68" s="54" t="s">
        <v>449</v>
      </c>
    </row>
    <row r="69" spans="1:3" ht="28.8" x14ac:dyDescent="0.3">
      <c r="A69" s="34" t="s">
        <v>168</v>
      </c>
      <c r="B69" s="37" t="s">
        <v>254</v>
      </c>
      <c r="C69" s="37" t="s">
        <v>458</v>
      </c>
    </row>
    <row r="70" spans="1:3" x14ac:dyDescent="0.3">
      <c r="A70" s="34" t="s">
        <v>168</v>
      </c>
      <c r="B70" s="54" t="s">
        <v>255</v>
      </c>
      <c r="C70" s="54" t="s">
        <v>459</v>
      </c>
    </row>
    <row r="71" spans="1:3" x14ac:dyDescent="0.3">
      <c r="A71" s="34" t="s">
        <v>168</v>
      </c>
      <c r="B71" s="37" t="s">
        <v>256</v>
      </c>
      <c r="C71" s="37" t="s">
        <v>460</v>
      </c>
    </row>
    <row r="72" spans="1:3" x14ac:dyDescent="0.3">
      <c r="A72" s="34" t="s">
        <v>168</v>
      </c>
      <c r="B72" s="54" t="s">
        <v>252</v>
      </c>
      <c r="C72" s="54" t="s">
        <v>455</v>
      </c>
    </row>
    <row r="73" spans="1:3" ht="28.8" x14ac:dyDescent="0.3">
      <c r="A73" s="34" t="s">
        <v>168</v>
      </c>
      <c r="B73" s="37" t="s">
        <v>257</v>
      </c>
      <c r="C73" s="37" t="s">
        <v>461</v>
      </c>
    </row>
    <row r="74" spans="1:3" x14ac:dyDescent="0.3">
      <c r="A74" s="34" t="s">
        <v>168</v>
      </c>
      <c r="B74" s="54" t="s">
        <v>258</v>
      </c>
      <c r="C74" s="54" t="s">
        <v>462</v>
      </c>
    </row>
    <row r="75" spans="1:3" ht="28.8" x14ac:dyDescent="0.3">
      <c r="A75" s="34" t="s">
        <v>168</v>
      </c>
      <c r="B75" s="37" t="s">
        <v>259</v>
      </c>
      <c r="C75" s="37" t="s">
        <v>463</v>
      </c>
    </row>
    <row r="76" spans="1:3" x14ac:dyDescent="0.3">
      <c r="A76" s="34" t="s">
        <v>168</v>
      </c>
      <c r="B76" s="96" t="s">
        <v>1231</v>
      </c>
      <c r="C76" s="96" t="s">
        <v>1230</v>
      </c>
    </row>
    <row r="77" spans="1:3" x14ac:dyDescent="0.3">
      <c r="A77" s="34" t="s">
        <v>168</v>
      </c>
      <c r="B77" t="s">
        <v>260</v>
      </c>
      <c r="C77" t="s">
        <v>464</v>
      </c>
    </row>
    <row r="78" spans="1:3" x14ac:dyDescent="0.3">
      <c r="A78" s="34" t="s">
        <v>168</v>
      </c>
      <c r="B78" s="44" t="e">
        <f>Tabelle!B19:I23</f>
        <v>#VALUE!</v>
      </c>
      <c r="C78" s="44" t="e">
        <f>Tabelle!B19:I23</f>
        <v>#VALUE!</v>
      </c>
    </row>
    <row r="79" spans="1:3" x14ac:dyDescent="0.3">
      <c r="A79" s="34" t="s">
        <v>168</v>
      </c>
      <c r="B79" s="44" t="e">
        <f>Tabelle!B29:F34</f>
        <v>#VALUE!</v>
      </c>
      <c r="C79" s="44" t="e">
        <f>Tabelle!B29:F34</f>
        <v>#VALUE!</v>
      </c>
    </row>
    <row r="80" spans="1:3" x14ac:dyDescent="0.3">
      <c r="A80" s="109" t="s">
        <v>168</v>
      </c>
      <c r="B80" s="77" t="s">
        <v>1483</v>
      </c>
      <c r="C80" s="77" t="s">
        <v>1484</v>
      </c>
    </row>
    <row r="81" spans="1:3" x14ac:dyDescent="0.3">
      <c r="A81" s="34" t="s">
        <v>168</v>
      </c>
      <c r="B81" s="47" t="s">
        <v>373</v>
      </c>
      <c r="C81" s="47" t="s">
        <v>465</v>
      </c>
    </row>
    <row r="82" spans="1:3" x14ac:dyDescent="0.3">
      <c r="A82" s="34" t="s">
        <v>168</v>
      </c>
      <c r="B82" s="78" t="s">
        <v>374</v>
      </c>
      <c r="C82" s="78" t="s">
        <v>466</v>
      </c>
    </row>
    <row r="83" spans="1:3" x14ac:dyDescent="0.3">
      <c r="A83" s="34" t="s">
        <v>168</v>
      </c>
      <c r="B83" s="45" t="s">
        <v>375</v>
      </c>
      <c r="C83" s="45" t="s">
        <v>520</v>
      </c>
    </row>
    <row r="84" spans="1:3" x14ac:dyDescent="0.3">
      <c r="A84" s="34" t="s">
        <v>395</v>
      </c>
      <c r="B84" s="96" t="s">
        <v>1232</v>
      </c>
      <c r="C84" s="96" t="s">
        <v>1233</v>
      </c>
    </row>
    <row r="85" spans="1:3" ht="43.2" x14ac:dyDescent="0.3">
      <c r="A85" s="109" t="s">
        <v>395</v>
      </c>
      <c r="B85" s="4" t="s">
        <v>377</v>
      </c>
      <c r="C85" s="4" t="s">
        <v>467</v>
      </c>
    </row>
    <row r="86" spans="1:3" x14ac:dyDescent="0.3">
      <c r="A86" s="34" t="s">
        <v>395</v>
      </c>
      <c r="B86" s="47" t="s">
        <v>373</v>
      </c>
      <c r="C86" s="47" t="s">
        <v>468</v>
      </c>
    </row>
    <row r="87" spans="1:3" x14ac:dyDescent="0.3">
      <c r="A87" s="34" t="s">
        <v>395</v>
      </c>
      <c r="B87" s="78" t="s">
        <v>378</v>
      </c>
      <c r="C87" s="78" t="s">
        <v>469</v>
      </c>
    </row>
    <row r="88" spans="1:3" x14ac:dyDescent="0.3">
      <c r="A88" s="34" t="s">
        <v>395</v>
      </c>
      <c r="B88" s="45" t="s">
        <v>379</v>
      </c>
      <c r="C88" s="45" t="s">
        <v>521</v>
      </c>
    </row>
    <row r="89" spans="1:3" x14ac:dyDescent="0.3">
      <c r="A89" s="34" t="s">
        <v>395</v>
      </c>
      <c r="B89" s="54" t="s">
        <v>380</v>
      </c>
      <c r="C89" s="54" t="s">
        <v>470</v>
      </c>
    </row>
    <row r="90" spans="1:3" ht="57.6" x14ac:dyDescent="0.3">
      <c r="A90" s="34" t="s">
        <v>395</v>
      </c>
      <c r="B90" s="37" t="s">
        <v>381</v>
      </c>
      <c r="C90" s="37" t="s">
        <v>471</v>
      </c>
    </row>
    <row r="91" spans="1:3" x14ac:dyDescent="0.3">
      <c r="A91" s="34" t="s">
        <v>395</v>
      </c>
      <c r="B91" s="37" t="s">
        <v>382</v>
      </c>
      <c r="C91" s="37" t="s">
        <v>472</v>
      </c>
    </row>
    <row r="92" spans="1:3" x14ac:dyDescent="0.3">
      <c r="A92" s="34" t="s">
        <v>395</v>
      </c>
      <c r="B92" s="37" t="s">
        <v>383</v>
      </c>
      <c r="C92" s="37" t="s">
        <v>473</v>
      </c>
    </row>
    <row r="93" spans="1:3" x14ac:dyDescent="0.3">
      <c r="A93" s="34" t="s">
        <v>395</v>
      </c>
      <c r="B93" s="37" t="s">
        <v>480</v>
      </c>
      <c r="C93" s="37" t="s">
        <v>474</v>
      </c>
    </row>
    <row r="94" spans="1:3" x14ac:dyDescent="0.3">
      <c r="A94" s="34" t="s">
        <v>395</v>
      </c>
      <c r="B94" s="79" t="s">
        <v>384</v>
      </c>
      <c r="C94" s="79" t="s">
        <v>482</v>
      </c>
    </row>
    <row r="95" spans="1:3" x14ac:dyDescent="0.3">
      <c r="A95" s="34" t="s">
        <v>395</v>
      </c>
      <c r="B95" s="79" t="s">
        <v>385</v>
      </c>
      <c r="C95" s="79" t="s">
        <v>483</v>
      </c>
    </row>
    <row r="96" spans="1:3" x14ac:dyDescent="0.3">
      <c r="A96" s="34" t="s">
        <v>395</v>
      </c>
      <c r="B96" s="82" t="s">
        <v>481</v>
      </c>
      <c r="C96" s="82" t="s">
        <v>429</v>
      </c>
    </row>
    <row r="97" spans="1:3" x14ac:dyDescent="0.3">
      <c r="A97" s="34" t="s">
        <v>395</v>
      </c>
      <c r="B97" s="54" t="s">
        <v>228</v>
      </c>
      <c r="C97" s="54" t="s">
        <v>430</v>
      </c>
    </row>
    <row r="98" spans="1:3" x14ac:dyDescent="0.3">
      <c r="A98" s="34" t="s">
        <v>395</v>
      </c>
      <c r="B98" s="37" t="s">
        <v>230</v>
      </c>
      <c r="C98" s="37" t="s">
        <v>431</v>
      </c>
    </row>
    <row r="99" spans="1:3" ht="28.8" x14ac:dyDescent="0.3">
      <c r="A99" s="34" t="s">
        <v>395</v>
      </c>
      <c r="B99" s="55" t="s">
        <v>231</v>
      </c>
      <c r="C99" s="55" t="s">
        <v>484</v>
      </c>
    </row>
    <row r="100" spans="1:3" x14ac:dyDescent="0.3">
      <c r="A100" s="34" t="s">
        <v>395</v>
      </c>
      <c r="B100" s="55" t="s">
        <v>232</v>
      </c>
      <c r="C100" s="55" t="s">
        <v>485</v>
      </c>
    </row>
    <row r="101" spans="1:3" x14ac:dyDescent="0.3">
      <c r="A101" s="34" t="s">
        <v>395</v>
      </c>
      <c r="B101" s="37" t="s">
        <v>386</v>
      </c>
      <c r="C101" s="37" t="s">
        <v>475</v>
      </c>
    </row>
    <row r="102" spans="1:3" x14ac:dyDescent="0.3">
      <c r="A102" s="34" t="s">
        <v>395</v>
      </c>
      <c r="B102" s="37" t="s">
        <v>387</v>
      </c>
      <c r="C102" s="37" t="s">
        <v>476</v>
      </c>
    </row>
    <row r="103" spans="1:3" x14ac:dyDescent="0.3">
      <c r="A103" s="34" t="s">
        <v>395</v>
      </c>
      <c r="B103" s="37" t="s">
        <v>388</v>
      </c>
      <c r="C103" s="37" t="s">
        <v>477</v>
      </c>
    </row>
    <row r="104" spans="1:3" ht="43.2" x14ac:dyDescent="0.3">
      <c r="A104" s="34" t="s">
        <v>395</v>
      </c>
      <c r="B104" s="37" t="s">
        <v>389</v>
      </c>
      <c r="C104" s="37" t="s">
        <v>478</v>
      </c>
    </row>
    <row r="105" spans="1:3" x14ac:dyDescent="0.3">
      <c r="A105" s="34" t="s">
        <v>395</v>
      </c>
      <c r="B105" s="54" t="s">
        <v>234</v>
      </c>
      <c r="C105" s="54" t="s">
        <v>479</v>
      </c>
    </row>
    <row r="106" spans="1:3" x14ac:dyDescent="0.3">
      <c r="A106" s="34" t="s">
        <v>395</v>
      </c>
      <c r="B106" s="55" t="s">
        <v>235</v>
      </c>
      <c r="C106" s="55" t="s">
        <v>489</v>
      </c>
    </row>
    <row r="107" spans="1:3" x14ac:dyDescent="0.3">
      <c r="A107" s="34" t="s">
        <v>395</v>
      </c>
      <c r="B107" s="55" t="s">
        <v>236</v>
      </c>
      <c r="C107" s="55" t="s">
        <v>488</v>
      </c>
    </row>
    <row r="108" spans="1:3" x14ac:dyDescent="0.3">
      <c r="A108" s="34" t="s">
        <v>395</v>
      </c>
      <c r="B108" s="54" t="s">
        <v>237</v>
      </c>
      <c r="C108" s="54" t="s">
        <v>434</v>
      </c>
    </row>
    <row r="109" spans="1:3" x14ac:dyDescent="0.3">
      <c r="A109" s="34" t="s">
        <v>395</v>
      </c>
      <c r="B109" s="55" t="s">
        <v>238</v>
      </c>
      <c r="C109" s="55" t="s">
        <v>486</v>
      </c>
    </row>
    <row r="110" spans="1:3" x14ac:dyDescent="0.3">
      <c r="A110" s="34" t="s">
        <v>395</v>
      </c>
      <c r="B110" s="55" t="s">
        <v>239</v>
      </c>
      <c r="C110" s="55" t="s">
        <v>487</v>
      </c>
    </row>
    <row r="111" spans="1:3" x14ac:dyDescent="0.3">
      <c r="A111" s="34" t="s">
        <v>395</v>
      </c>
      <c r="B111" s="54" t="s">
        <v>240</v>
      </c>
      <c r="C111" s="54" t="s">
        <v>435</v>
      </c>
    </row>
    <row r="112" spans="1:3" ht="43.2" x14ac:dyDescent="0.3">
      <c r="A112" s="34" t="s">
        <v>395</v>
      </c>
      <c r="B112" s="37" t="s">
        <v>241</v>
      </c>
      <c r="C112" s="37" t="s">
        <v>436</v>
      </c>
    </row>
    <row r="113" spans="1:3" x14ac:dyDescent="0.3">
      <c r="A113" s="34" t="s">
        <v>395</v>
      </c>
      <c r="B113" s="56" t="s">
        <v>491</v>
      </c>
      <c r="C113" s="56" t="s">
        <v>490</v>
      </c>
    </row>
    <row r="114" spans="1:3" x14ac:dyDescent="0.3">
      <c r="A114" s="34" t="s">
        <v>395</v>
      </c>
      <c r="B114" s="54" t="s">
        <v>242</v>
      </c>
      <c r="C114" s="54" t="s">
        <v>446</v>
      </c>
    </row>
    <row r="115" spans="1:3" ht="43.2" x14ac:dyDescent="0.3">
      <c r="A115" s="34" t="s">
        <v>395</v>
      </c>
      <c r="B115" s="37" t="s">
        <v>243</v>
      </c>
      <c r="C115" s="37" t="s">
        <v>447</v>
      </c>
    </row>
    <row r="116" spans="1:3" x14ac:dyDescent="0.3">
      <c r="A116" s="34" t="s">
        <v>395</v>
      </c>
      <c r="B116" s="80" t="s">
        <v>244</v>
      </c>
      <c r="C116" s="80" t="s">
        <v>448</v>
      </c>
    </row>
    <row r="117" spans="1:3" x14ac:dyDescent="0.3">
      <c r="A117" s="34" t="s">
        <v>395</v>
      </c>
      <c r="B117" s="37" t="s">
        <v>245</v>
      </c>
      <c r="C117" s="37" t="s">
        <v>525</v>
      </c>
    </row>
    <row r="118" spans="1:3" x14ac:dyDescent="0.3">
      <c r="A118" s="34" t="s">
        <v>395</v>
      </c>
      <c r="B118" s="54" t="s">
        <v>246</v>
      </c>
      <c r="C118" s="54" t="s">
        <v>449</v>
      </c>
    </row>
    <row r="119" spans="1:3" ht="28.8" x14ac:dyDescent="0.3">
      <c r="A119" s="34" t="s">
        <v>395</v>
      </c>
      <c r="B119" s="37" t="s">
        <v>390</v>
      </c>
      <c r="C119" s="37" t="s">
        <v>492</v>
      </c>
    </row>
    <row r="120" spans="1:3" x14ac:dyDescent="0.3">
      <c r="A120" s="34" t="s">
        <v>395</v>
      </c>
      <c r="B120" s="37" t="s">
        <v>391</v>
      </c>
      <c r="C120" s="37" t="s">
        <v>493</v>
      </c>
    </row>
    <row r="121" spans="1:3" x14ac:dyDescent="0.3">
      <c r="A121" s="34" t="s">
        <v>395</v>
      </c>
      <c r="B121" s="54" t="s">
        <v>248</v>
      </c>
      <c r="C121" s="54" t="s">
        <v>451</v>
      </c>
    </row>
    <row r="122" spans="1:3" ht="43.2" x14ac:dyDescent="0.3">
      <c r="A122" s="34" t="s">
        <v>395</v>
      </c>
      <c r="B122" s="37" t="s">
        <v>249</v>
      </c>
      <c r="C122" s="37" t="s">
        <v>452</v>
      </c>
    </row>
    <row r="123" spans="1:3" x14ac:dyDescent="0.3">
      <c r="A123" s="34" t="s">
        <v>395</v>
      </c>
      <c r="B123" s="54" t="s">
        <v>250</v>
      </c>
      <c r="C123" s="54" t="s">
        <v>453</v>
      </c>
    </row>
    <row r="124" spans="1:3" x14ac:dyDescent="0.3">
      <c r="A124" s="34" t="s">
        <v>395</v>
      </c>
      <c r="B124" s="37" t="s">
        <v>251</v>
      </c>
      <c r="C124" s="37" t="s">
        <v>454</v>
      </c>
    </row>
    <row r="125" spans="1:3" x14ac:dyDescent="0.3">
      <c r="A125" s="34" t="s">
        <v>395</v>
      </c>
      <c r="B125" s="54" t="s">
        <v>252</v>
      </c>
      <c r="C125" s="54" t="s">
        <v>455</v>
      </c>
    </row>
    <row r="126" spans="1:3" x14ac:dyDescent="0.3">
      <c r="A126" s="34" t="s">
        <v>395</v>
      </c>
      <c r="B126" s="37" t="s">
        <v>253</v>
      </c>
      <c r="C126" s="37" t="s">
        <v>456</v>
      </c>
    </row>
    <row r="127" spans="1:3" x14ac:dyDescent="0.3">
      <c r="A127" s="34" t="s">
        <v>395</v>
      </c>
      <c r="B127" s="56" t="s">
        <v>445</v>
      </c>
      <c r="C127" s="56" t="s">
        <v>457</v>
      </c>
    </row>
    <row r="128" spans="1:3" x14ac:dyDescent="0.3">
      <c r="A128" s="34" t="s">
        <v>395</v>
      </c>
      <c r="B128" s="54" t="s">
        <v>246</v>
      </c>
      <c r="C128" s="54" t="s">
        <v>449</v>
      </c>
    </row>
    <row r="129" spans="1:3" ht="28.8" x14ac:dyDescent="0.3">
      <c r="A129" s="34" t="s">
        <v>395</v>
      </c>
      <c r="B129" s="37" t="s">
        <v>254</v>
      </c>
      <c r="C129" s="37" t="s">
        <v>458</v>
      </c>
    </row>
    <row r="130" spans="1:3" x14ac:dyDescent="0.3">
      <c r="A130" s="34" t="s">
        <v>395</v>
      </c>
      <c r="B130" s="80" t="s">
        <v>255</v>
      </c>
      <c r="C130" s="80" t="s">
        <v>459</v>
      </c>
    </row>
    <row r="131" spans="1:3" x14ac:dyDescent="0.3">
      <c r="A131" s="34" t="s">
        <v>395</v>
      </c>
      <c r="B131" s="37" t="s">
        <v>256</v>
      </c>
      <c r="C131" s="37" t="s">
        <v>460</v>
      </c>
    </row>
    <row r="132" spans="1:3" x14ac:dyDescent="0.3">
      <c r="A132" s="34" t="s">
        <v>395</v>
      </c>
      <c r="B132" s="54" t="s">
        <v>252</v>
      </c>
      <c r="C132" s="54" t="s">
        <v>455</v>
      </c>
    </row>
    <row r="133" spans="1:3" ht="28.8" x14ac:dyDescent="0.3">
      <c r="A133" s="34" t="s">
        <v>395</v>
      </c>
      <c r="B133" s="37" t="s">
        <v>257</v>
      </c>
      <c r="C133" s="37" t="s">
        <v>461</v>
      </c>
    </row>
    <row r="134" spans="1:3" x14ac:dyDescent="0.3">
      <c r="A134" s="34" t="s">
        <v>395</v>
      </c>
      <c r="B134" s="54" t="s">
        <v>258</v>
      </c>
      <c r="C134" s="54" t="s">
        <v>462</v>
      </c>
    </row>
    <row r="135" spans="1:3" ht="28.8" x14ac:dyDescent="0.3">
      <c r="A135" s="34" t="s">
        <v>395</v>
      </c>
      <c r="B135" s="37" t="s">
        <v>259</v>
      </c>
      <c r="C135" s="37" t="s">
        <v>494</v>
      </c>
    </row>
    <row r="136" spans="1:3" x14ac:dyDescent="0.3">
      <c r="A136" s="34" t="s">
        <v>395</v>
      </c>
      <c r="B136" s="96" t="s">
        <v>1234</v>
      </c>
      <c r="C136" s="96" t="s">
        <v>1235</v>
      </c>
    </row>
    <row r="137" spans="1:3" x14ac:dyDescent="0.3">
      <c r="A137" s="34" t="s">
        <v>395</v>
      </c>
      <c r="B137" s="47" t="s">
        <v>373</v>
      </c>
      <c r="C137" s="47" t="s">
        <v>495</v>
      </c>
    </row>
    <row r="138" spans="1:3" x14ac:dyDescent="0.3">
      <c r="A138" s="34" t="s">
        <v>395</v>
      </c>
      <c r="B138" s="47" t="s">
        <v>392</v>
      </c>
      <c r="C138" s="47" t="s">
        <v>496</v>
      </c>
    </row>
    <row r="139" spans="1:3" ht="28.8" x14ac:dyDescent="0.3">
      <c r="A139" s="34" t="s">
        <v>395</v>
      </c>
      <c r="B139" s="37" t="s">
        <v>393</v>
      </c>
      <c r="C139" s="37" t="s">
        <v>497</v>
      </c>
    </row>
    <row r="140" spans="1:3" ht="57.6" x14ac:dyDescent="0.3">
      <c r="A140" s="34" t="s">
        <v>395</v>
      </c>
      <c r="B140" s="37" t="s">
        <v>394</v>
      </c>
      <c r="C140" s="37" t="s">
        <v>498</v>
      </c>
    </row>
    <row r="141" spans="1:3" ht="28.8" x14ac:dyDescent="0.3">
      <c r="A141" s="34" t="s">
        <v>168</v>
      </c>
      <c r="B141" s="53" t="s">
        <v>1236</v>
      </c>
      <c r="C141" s="53" t="s">
        <v>1237</v>
      </c>
    </row>
    <row r="142" spans="1:3" ht="20.399999999999999" x14ac:dyDescent="0.3">
      <c r="A142" s="34" t="s">
        <v>168</v>
      </c>
      <c r="B142" s="98" t="s">
        <v>1239</v>
      </c>
      <c r="C142" s="98" t="s">
        <v>1241</v>
      </c>
    </row>
    <row r="143" spans="1:3" x14ac:dyDescent="0.3">
      <c r="A143" s="34" t="s">
        <v>168</v>
      </c>
      <c r="B143" s="5" t="s">
        <v>396</v>
      </c>
      <c r="C143" s="5" t="s">
        <v>499</v>
      </c>
    </row>
    <row r="144" spans="1:3" x14ac:dyDescent="0.3">
      <c r="A144" s="34" t="s">
        <v>48</v>
      </c>
      <c r="B144" s="5" t="s">
        <v>397</v>
      </c>
      <c r="C144" s="5" t="s">
        <v>500</v>
      </c>
    </row>
    <row r="145" spans="1:3" x14ac:dyDescent="0.3">
      <c r="A145" s="34" t="s">
        <v>49</v>
      </c>
      <c r="B145" s="5" t="s">
        <v>399</v>
      </c>
      <c r="C145" s="5" t="s">
        <v>501</v>
      </c>
    </row>
    <row r="146" spans="1:3" x14ac:dyDescent="0.3">
      <c r="A146" s="34" t="s">
        <v>49</v>
      </c>
      <c r="B146" s="45" t="s">
        <v>400</v>
      </c>
      <c r="C146" s="45" t="s">
        <v>400</v>
      </c>
    </row>
    <row r="147" spans="1:3" x14ac:dyDescent="0.3">
      <c r="A147" s="34" t="s">
        <v>49</v>
      </c>
      <c r="B147" s="41" t="s">
        <v>1423</v>
      </c>
      <c r="C147" s="41" t="s">
        <v>1422</v>
      </c>
    </row>
    <row r="148" spans="1:3" x14ac:dyDescent="0.3">
      <c r="A148" s="34" t="s">
        <v>168</v>
      </c>
      <c r="B148" s="47" t="s">
        <v>373</v>
      </c>
      <c r="C148" s="47" t="s">
        <v>465</v>
      </c>
    </row>
    <row r="149" spans="1:3" ht="20.25" customHeight="1" x14ac:dyDescent="0.3">
      <c r="A149" s="34" t="s">
        <v>168</v>
      </c>
      <c r="B149" s="78" t="s">
        <v>502</v>
      </c>
      <c r="C149" s="78" t="s">
        <v>503</v>
      </c>
    </row>
    <row r="150" spans="1:3" ht="28.8" x14ac:dyDescent="0.3">
      <c r="A150" s="34" t="s">
        <v>168</v>
      </c>
      <c r="B150" s="37" t="s">
        <v>401</v>
      </c>
      <c r="C150" s="37" t="s">
        <v>504</v>
      </c>
    </row>
    <row r="151" spans="1:3" x14ac:dyDescent="0.3">
      <c r="A151" s="34" t="s">
        <v>168</v>
      </c>
      <c r="B151" s="47" t="s">
        <v>373</v>
      </c>
      <c r="C151" s="47" t="s">
        <v>495</v>
      </c>
    </row>
    <row r="152" spans="1:3" x14ac:dyDescent="0.3">
      <c r="A152" s="34" t="s">
        <v>168</v>
      </c>
      <c r="B152" s="78" t="s">
        <v>505</v>
      </c>
      <c r="C152" s="78" t="s">
        <v>514</v>
      </c>
    </row>
    <row r="153" spans="1:3" x14ac:dyDescent="0.3">
      <c r="A153" s="34" t="s">
        <v>168</v>
      </c>
      <c r="B153" s="45" t="s">
        <v>506</v>
      </c>
      <c r="C153" s="45" t="s">
        <v>522</v>
      </c>
    </row>
    <row r="154" spans="1:3" ht="20.399999999999999" x14ac:dyDescent="0.3">
      <c r="A154" s="34" t="s">
        <v>168</v>
      </c>
      <c r="B154" s="98" t="s">
        <v>1238</v>
      </c>
      <c r="C154" s="98" t="s">
        <v>1240</v>
      </c>
    </row>
    <row r="155" spans="1:3" ht="28.8" x14ac:dyDescent="0.3">
      <c r="A155" s="34" t="s">
        <v>168</v>
      </c>
      <c r="B155" s="52" t="s">
        <v>507</v>
      </c>
      <c r="C155" s="52" t="s">
        <v>515</v>
      </c>
    </row>
    <row r="156" spans="1:3" x14ac:dyDescent="0.3">
      <c r="A156" s="34" t="s">
        <v>49</v>
      </c>
      <c r="B156" s="5" t="s">
        <v>508</v>
      </c>
      <c r="C156" s="5"/>
    </row>
    <row r="157" spans="1:3" x14ac:dyDescent="0.3">
      <c r="A157" s="34" t="s">
        <v>48</v>
      </c>
      <c r="B157" s="5" t="s">
        <v>510</v>
      </c>
      <c r="C157" s="5"/>
    </row>
    <row r="158" spans="1:3" x14ac:dyDescent="0.3">
      <c r="A158" s="34" t="s">
        <v>48</v>
      </c>
      <c r="B158" s="45" t="s">
        <v>509</v>
      </c>
      <c r="C158" s="45" t="s">
        <v>509</v>
      </c>
    </row>
    <row r="159" spans="1:3" x14ac:dyDescent="0.3">
      <c r="A159" s="34" t="s">
        <v>48</v>
      </c>
      <c r="B159" s="41" t="s">
        <v>1425</v>
      </c>
      <c r="C159" s="41" t="s">
        <v>1424</v>
      </c>
    </row>
    <row r="160" spans="1:3" x14ac:dyDescent="0.3">
      <c r="A160" s="109" t="s">
        <v>0</v>
      </c>
      <c r="B160" t="s">
        <v>511</v>
      </c>
      <c r="C160" t="s">
        <v>516</v>
      </c>
    </row>
    <row r="161" spans="1:3" x14ac:dyDescent="0.3">
      <c r="A161" s="34" t="s">
        <v>168</v>
      </c>
      <c r="B161" s="47" t="s">
        <v>373</v>
      </c>
      <c r="C161" s="47" t="s">
        <v>468</v>
      </c>
    </row>
    <row r="162" spans="1:3" x14ac:dyDescent="0.3">
      <c r="A162" s="34" t="s">
        <v>168</v>
      </c>
      <c r="B162" s="97" t="s">
        <v>512</v>
      </c>
      <c r="C162" s="97" t="s">
        <v>517</v>
      </c>
    </row>
    <row r="163" spans="1:3" x14ac:dyDescent="0.3">
      <c r="A163" s="34" t="s">
        <v>168</v>
      </c>
      <c r="B163" s="45" t="s">
        <v>513</v>
      </c>
      <c r="C163" s="45" t="s">
        <v>523</v>
      </c>
    </row>
    <row r="164" spans="1:3" ht="22.5" customHeight="1" x14ac:dyDescent="0.3">
      <c r="A164" s="34" t="s">
        <v>168</v>
      </c>
      <c r="B164" s="81" t="s">
        <v>1242</v>
      </c>
      <c r="C164" s="81" t="s">
        <v>1243</v>
      </c>
    </row>
    <row r="165" spans="1:3" x14ac:dyDescent="0.3">
      <c r="A165" s="35" t="s">
        <v>168</v>
      </c>
      <c r="B165" s="47" t="s">
        <v>10</v>
      </c>
      <c r="C165" s="47" t="s">
        <v>155</v>
      </c>
    </row>
    <row r="166" spans="1:3" x14ac:dyDescent="0.3">
      <c r="A166" s="36" t="s">
        <v>168</v>
      </c>
      <c r="B166" s="46" t="s">
        <v>11</v>
      </c>
      <c r="C166" s="46" t="s">
        <v>157</v>
      </c>
    </row>
    <row r="167" spans="1:3" ht="28.8" x14ac:dyDescent="0.3">
      <c r="A167" s="36" t="s">
        <v>49</v>
      </c>
      <c r="B167" s="46" t="s">
        <v>1401</v>
      </c>
      <c r="C167" s="46" t="s">
        <v>158</v>
      </c>
    </row>
    <row r="168" spans="1:3" ht="37.5" customHeight="1" x14ac:dyDescent="0.3">
      <c r="A168" s="36" t="s">
        <v>881</v>
      </c>
      <c r="B168" s="48" t="s">
        <v>1402</v>
      </c>
      <c r="C168" s="48" t="s">
        <v>156</v>
      </c>
    </row>
    <row r="169" spans="1:3" ht="48" customHeight="1" x14ac:dyDescent="0.3">
      <c r="A169" s="35" t="s">
        <v>168</v>
      </c>
      <c r="B169" s="45" t="s">
        <v>169</v>
      </c>
      <c r="C169" s="45" t="s">
        <v>170</v>
      </c>
    </row>
    <row r="170" spans="1:3" ht="34.5" customHeight="1" x14ac:dyDescent="0.3">
      <c r="A170" s="35" t="s">
        <v>168</v>
      </c>
      <c r="B170" s="38" t="s">
        <v>12</v>
      </c>
      <c r="C170" s="38" t="s">
        <v>159</v>
      </c>
    </row>
    <row r="171" spans="1:3" ht="18" x14ac:dyDescent="0.3">
      <c r="A171" s="35" t="s">
        <v>168</v>
      </c>
      <c r="B171" s="39" t="s">
        <v>1244</v>
      </c>
      <c r="C171" s="39" t="s">
        <v>1245</v>
      </c>
    </row>
    <row r="172" spans="1:3" ht="27.75" customHeight="1" x14ac:dyDescent="0.3">
      <c r="A172" s="35" t="s">
        <v>168</v>
      </c>
      <c r="B172" s="5" t="s">
        <v>27</v>
      </c>
      <c r="C172" s="5" t="s">
        <v>160</v>
      </c>
    </row>
    <row r="173" spans="1:3" x14ac:dyDescent="0.3">
      <c r="A173" s="35" t="s">
        <v>168</v>
      </c>
      <c r="B173" s="44" t="e">
        <f>Tabelle!$B$95:$H$98</f>
        <v>#VALUE!</v>
      </c>
      <c r="C173" s="44" t="e">
        <f>Tabelle!$B$95:$H$98</f>
        <v>#VALUE!</v>
      </c>
    </row>
    <row r="174" spans="1:3" x14ac:dyDescent="0.3">
      <c r="A174" s="35" t="s">
        <v>168</v>
      </c>
      <c r="B174" s="40" t="s">
        <v>28</v>
      </c>
      <c r="C174" s="40" t="s">
        <v>161</v>
      </c>
    </row>
    <row r="175" spans="1:3" ht="17.25" customHeight="1" x14ac:dyDescent="0.3">
      <c r="A175" s="35" t="s">
        <v>168</v>
      </c>
      <c r="B175" s="41" t="s">
        <v>1487</v>
      </c>
      <c r="C175" s="41" t="s">
        <v>1488</v>
      </c>
    </row>
    <row r="176" spans="1:3" ht="16.5" customHeight="1" x14ac:dyDescent="0.3">
      <c r="A176" s="35" t="s">
        <v>168</v>
      </c>
      <c r="B176" s="44" t="e">
        <f>Tabelle!B134:F135</f>
        <v>#VALUE!</v>
      </c>
      <c r="C176" s="44" t="e">
        <f>Tabelle!$B$134:$F$135</f>
        <v>#VALUE!</v>
      </c>
    </row>
    <row r="177" spans="1:3" x14ac:dyDescent="0.3">
      <c r="A177" s="35" t="s">
        <v>168</v>
      </c>
      <c r="B177" s="42" t="s">
        <v>1485</v>
      </c>
      <c r="C177" s="42" t="s">
        <v>1486</v>
      </c>
    </row>
    <row r="178" spans="1:3" ht="32.25" customHeight="1" x14ac:dyDescent="0.3">
      <c r="A178" s="35" t="s">
        <v>48</v>
      </c>
      <c r="B178" s="32" t="s">
        <v>34</v>
      </c>
      <c r="C178" s="32" t="s">
        <v>162</v>
      </c>
    </row>
    <row r="179" spans="1:3" ht="18" customHeight="1" x14ac:dyDescent="0.3">
      <c r="A179" s="35" t="s">
        <v>48</v>
      </c>
      <c r="B179" s="43" t="s">
        <v>171</v>
      </c>
      <c r="C179" s="43" t="s">
        <v>171</v>
      </c>
    </row>
    <row r="180" spans="1:3" x14ac:dyDescent="0.3">
      <c r="A180" s="35" t="s">
        <v>48</v>
      </c>
      <c r="B180" s="42" t="s">
        <v>1426</v>
      </c>
      <c r="C180" s="42" t="s">
        <v>1428</v>
      </c>
    </row>
    <row r="181" spans="1:3" ht="145.94999999999999" customHeight="1" x14ac:dyDescent="0.3">
      <c r="A181" s="35" t="s">
        <v>48</v>
      </c>
      <c r="B181" s="37" t="s">
        <v>1403</v>
      </c>
      <c r="C181" s="37" t="s">
        <v>163</v>
      </c>
    </row>
    <row r="182" spans="1:3" ht="57.6" x14ac:dyDescent="0.3">
      <c r="A182" s="35" t="s">
        <v>49</v>
      </c>
      <c r="B182" s="37" t="s">
        <v>1404</v>
      </c>
      <c r="C182" s="37" t="s">
        <v>164</v>
      </c>
    </row>
    <row r="183" spans="1:3" x14ac:dyDescent="0.3">
      <c r="A183" s="35" t="s">
        <v>49</v>
      </c>
      <c r="B183" s="43" t="s">
        <v>172</v>
      </c>
      <c r="C183" s="43" t="s">
        <v>172</v>
      </c>
    </row>
    <row r="184" spans="1:3" ht="22.5" customHeight="1" x14ac:dyDescent="0.3">
      <c r="A184" s="35" t="s">
        <v>49</v>
      </c>
      <c r="B184" s="42" t="s">
        <v>1427</v>
      </c>
      <c r="C184" s="42" t="s">
        <v>1429</v>
      </c>
    </row>
    <row r="185" spans="1:3" ht="148.5" customHeight="1" x14ac:dyDescent="0.3">
      <c r="A185" s="109" t="s">
        <v>49</v>
      </c>
      <c r="B185" s="188" t="s">
        <v>36</v>
      </c>
      <c r="C185" s="37" t="s">
        <v>526</v>
      </c>
    </row>
    <row r="186" spans="1:3" ht="53.25" customHeight="1" x14ac:dyDescent="0.3">
      <c r="A186" s="109" t="s">
        <v>862</v>
      </c>
      <c r="B186" s="186" t="s">
        <v>1506</v>
      </c>
      <c r="C186" s="37" t="s">
        <v>1509</v>
      </c>
    </row>
    <row r="187" spans="1:3" ht="18" customHeight="1" x14ac:dyDescent="0.3">
      <c r="A187" s="109" t="s">
        <v>862</v>
      </c>
      <c r="B187" s="189" t="s">
        <v>1406</v>
      </c>
      <c r="C187" s="43" t="s">
        <v>1406</v>
      </c>
    </row>
    <row r="188" spans="1:3" ht="18" customHeight="1" x14ac:dyDescent="0.3">
      <c r="A188" s="109" t="s">
        <v>862</v>
      </c>
      <c r="B188" s="77" t="s">
        <v>1430</v>
      </c>
      <c r="C188" s="77" t="s">
        <v>1431</v>
      </c>
    </row>
    <row r="189" spans="1:3" ht="18" customHeight="1" x14ac:dyDescent="0.3">
      <c r="A189" s="109" t="s">
        <v>862</v>
      </c>
      <c r="B189" s="186" t="s">
        <v>1521</v>
      </c>
      <c r="C189" s="186" t="s">
        <v>1519</v>
      </c>
    </row>
    <row r="190" spans="1:3" ht="18" customHeight="1" x14ac:dyDescent="0.3">
      <c r="A190" s="109" t="s">
        <v>862</v>
      </c>
      <c r="B190" s="189" t="s">
        <v>1514</v>
      </c>
      <c r="C190" s="189" t="s">
        <v>1514</v>
      </c>
    </row>
    <row r="191" spans="1:3" ht="18" customHeight="1" x14ac:dyDescent="0.3">
      <c r="A191" s="109" t="s">
        <v>862</v>
      </c>
      <c r="B191" s="77" t="s">
        <v>1516</v>
      </c>
      <c r="C191" s="77" t="s">
        <v>1518</v>
      </c>
    </row>
    <row r="192" spans="1:3" ht="22.5" customHeight="1" x14ac:dyDescent="0.3">
      <c r="A192" s="109" t="s">
        <v>881</v>
      </c>
      <c r="B192" s="39" t="s">
        <v>1246</v>
      </c>
      <c r="C192" s="39" t="s">
        <v>1247</v>
      </c>
    </row>
    <row r="193" spans="1:3" ht="177.75" customHeight="1" x14ac:dyDescent="0.3">
      <c r="A193" s="109" t="s">
        <v>881</v>
      </c>
      <c r="B193" s="110" t="s">
        <v>532</v>
      </c>
      <c r="C193" s="110" t="s">
        <v>905</v>
      </c>
    </row>
    <row r="194" spans="1:3" x14ac:dyDescent="0.3">
      <c r="A194" s="109" t="s">
        <v>881</v>
      </c>
      <c r="B194" s="45" t="s">
        <v>1434</v>
      </c>
      <c r="C194" s="45" t="s">
        <v>1434</v>
      </c>
    </row>
    <row r="195" spans="1:3" x14ac:dyDescent="0.3">
      <c r="A195" s="109" t="s">
        <v>881</v>
      </c>
      <c r="B195" s="42" t="s">
        <v>1432</v>
      </c>
      <c r="C195" s="42" t="s">
        <v>1433</v>
      </c>
    </row>
    <row r="196" spans="1:3" ht="28.8" x14ac:dyDescent="0.3">
      <c r="A196" s="109" t="s">
        <v>168</v>
      </c>
      <c r="B196" s="53" t="s">
        <v>1248</v>
      </c>
      <c r="C196" s="53" t="s">
        <v>1249</v>
      </c>
    </row>
    <row r="197" spans="1:3" ht="129.6" x14ac:dyDescent="0.3">
      <c r="A197" s="109" t="s">
        <v>168</v>
      </c>
      <c r="B197" s="38" t="s">
        <v>1436</v>
      </c>
      <c r="C197" s="38" t="s">
        <v>1435</v>
      </c>
    </row>
    <row r="198" spans="1:3" ht="21" x14ac:dyDescent="0.3">
      <c r="A198" s="109" t="s">
        <v>168</v>
      </c>
      <c r="B198" s="81" t="s">
        <v>1251</v>
      </c>
      <c r="C198" s="81" t="s">
        <v>1250</v>
      </c>
    </row>
    <row r="199" spans="1:3" x14ac:dyDescent="0.3">
      <c r="A199" s="34" t="s">
        <v>168</v>
      </c>
      <c r="B199" s="47" t="s">
        <v>10</v>
      </c>
      <c r="C199" s="47" t="s">
        <v>155</v>
      </c>
    </row>
    <row r="200" spans="1:3" x14ac:dyDescent="0.3">
      <c r="A200" s="34" t="s">
        <v>168</v>
      </c>
      <c r="B200" s="117" t="s">
        <v>550</v>
      </c>
      <c r="C200" s="117" t="s">
        <v>906</v>
      </c>
    </row>
    <row r="201" spans="1:3" ht="28.8" x14ac:dyDescent="0.3">
      <c r="A201" s="34" t="s">
        <v>168</v>
      </c>
      <c r="B201" s="115" t="s">
        <v>551</v>
      </c>
      <c r="C201" s="115" t="s">
        <v>907</v>
      </c>
    </row>
    <row r="202" spans="1:3" ht="28.8" x14ac:dyDescent="0.3">
      <c r="A202" s="34" t="s">
        <v>168</v>
      </c>
      <c r="B202" s="116" t="s">
        <v>552</v>
      </c>
      <c r="C202" s="116" t="s">
        <v>908</v>
      </c>
    </row>
    <row r="203" spans="1:3" x14ac:dyDescent="0.3">
      <c r="A203" s="34" t="s">
        <v>168</v>
      </c>
      <c r="B203" s="45" t="s">
        <v>533</v>
      </c>
      <c r="C203" s="45" t="s">
        <v>909</v>
      </c>
    </row>
    <row r="204" spans="1:3" ht="28.8" x14ac:dyDescent="0.3">
      <c r="A204" s="109" t="s">
        <v>168</v>
      </c>
      <c r="B204" s="114" t="s">
        <v>547</v>
      </c>
      <c r="C204" s="114" t="s">
        <v>904</v>
      </c>
    </row>
    <row r="205" spans="1:3" ht="28.8" x14ac:dyDescent="0.3">
      <c r="A205" s="109" t="s">
        <v>168</v>
      </c>
      <c r="B205" s="99" t="s">
        <v>548</v>
      </c>
      <c r="C205" s="99" t="s">
        <v>911</v>
      </c>
    </row>
    <row r="206" spans="1:3" ht="246" customHeight="1" x14ac:dyDescent="0.3">
      <c r="A206" s="34" t="s">
        <v>168</v>
      </c>
      <c r="B206" s="112" t="s">
        <v>549</v>
      </c>
      <c r="C206" s="112" t="s">
        <v>910</v>
      </c>
    </row>
    <row r="207" spans="1:3" ht="18" x14ac:dyDescent="0.3">
      <c r="A207" s="34" t="s">
        <v>168</v>
      </c>
      <c r="B207" s="39" t="s">
        <v>1252</v>
      </c>
      <c r="C207" s="39" t="s">
        <v>1253</v>
      </c>
    </row>
    <row r="208" spans="1:3" x14ac:dyDescent="0.3">
      <c r="A208" s="34" t="s">
        <v>168</v>
      </c>
      <c r="B208" s="56" t="s">
        <v>543</v>
      </c>
      <c r="C208" s="56" t="s">
        <v>912</v>
      </c>
    </row>
    <row r="209" spans="1:3" ht="100.8" x14ac:dyDescent="0.3">
      <c r="A209" s="34" t="s">
        <v>168</v>
      </c>
      <c r="B209" s="111" t="s">
        <v>534</v>
      </c>
      <c r="C209" s="111" t="s">
        <v>913</v>
      </c>
    </row>
    <row r="210" spans="1:3" x14ac:dyDescent="0.3">
      <c r="A210" s="34" t="s">
        <v>168</v>
      </c>
      <c r="B210" s="56" t="s">
        <v>544</v>
      </c>
      <c r="C210" s="56" t="s">
        <v>922</v>
      </c>
    </row>
    <row r="211" spans="1:3" ht="28.8" x14ac:dyDescent="0.3">
      <c r="A211" s="34" t="s">
        <v>168</v>
      </c>
      <c r="B211" s="111" t="s">
        <v>535</v>
      </c>
      <c r="C211" s="111" t="s">
        <v>914</v>
      </c>
    </row>
    <row r="212" spans="1:3" ht="43.2" x14ac:dyDescent="0.3">
      <c r="A212" s="34" t="s">
        <v>168</v>
      </c>
      <c r="B212" s="111" t="s">
        <v>536</v>
      </c>
      <c r="C212" s="111" t="s">
        <v>915</v>
      </c>
    </row>
    <row r="213" spans="1:3" ht="28.8" x14ac:dyDescent="0.3">
      <c r="A213" s="34" t="s">
        <v>168</v>
      </c>
      <c r="B213" s="111" t="s">
        <v>537</v>
      </c>
      <c r="C213" s="111" t="s">
        <v>916</v>
      </c>
    </row>
    <row r="214" spans="1:3" x14ac:dyDescent="0.3">
      <c r="A214" s="34" t="s">
        <v>168</v>
      </c>
      <c r="B214" s="56" t="s">
        <v>545</v>
      </c>
      <c r="C214" s="56" t="s">
        <v>923</v>
      </c>
    </row>
    <row r="215" spans="1:3" ht="57.6" x14ac:dyDescent="0.3">
      <c r="A215" s="34" t="s">
        <v>168</v>
      </c>
      <c r="B215" s="111" t="s">
        <v>538</v>
      </c>
      <c r="C215" s="111" t="s">
        <v>917</v>
      </c>
    </row>
    <row r="216" spans="1:3" x14ac:dyDescent="0.3">
      <c r="A216" s="34" t="s">
        <v>168</v>
      </c>
      <c r="B216" s="56" t="s">
        <v>546</v>
      </c>
      <c r="C216" s="56" t="s">
        <v>924</v>
      </c>
    </row>
    <row r="217" spans="1:3" ht="138" customHeight="1" x14ac:dyDescent="0.3">
      <c r="A217" s="34" t="s">
        <v>168</v>
      </c>
      <c r="B217" s="112" t="s">
        <v>539</v>
      </c>
      <c r="C217" s="112" t="s">
        <v>918</v>
      </c>
    </row>
    <row r="218" spans="1:3" x14ac:dyDescent="0.3">
      <c r="A218" s="34" t="s">
        <v>192</v>
      </c>
      <c r="B218" s="44" t="e">
        <f>Tabelle!E168:G171</f>
        <v>#VALUE!</v>
      </c>
      <c r="C218" s="44" t="e">
        <f>Tabelle!P168:R171</f>
        <v>#VALUE!</v>
      </c>
    </row>
    <row r="219" spans="1:3" x14ac:dyDescent="0.3">
      <c r="A219" s="34" t="s">
        <v>196</v>
      </c>
      <c r="B219" s="44" t="e">
        <f>Tabelle!B168:D171</f>
        <v>#VALUE!</v>
      </c>
      <c r="C219" s="44" t="e">
        <f>Tabelle!M168:O171</f>
        <v>#VALUE!</v>
      </c>
    </row>
    <row r="220" spans="1:3" x14ac:dyDescent="0.3">
      <c r="A220" s="34" t="s">
        <v>226</v>
      </c>
      <c r="B220" s="44" t="e">
        <f>Tabelle!B168:G171</f>
        <v>#VALUE!</v>
      </c>
      <c r="C220" s="44" t="e">
        <f>Tabelle!M168:R171</f>
        <v>#VALUE!</v>
      </c>
    </row>
    <row r="221" spans="1:3" ht="78" customHeight="1" x14ac:dyDescent="0.3">
      <c r="A221" s="34" t="s">
        <v>168</v>
      </c>
      <c r="B221" s="113" t="s">
        <v>540</v>
      </c>
      <c r="C221" s="113" t="s">
        <v>919</v>
      </c>
    </row>
    <row r="222" spans="1:3" ht="28.8" x14ac:dyDescent="0.3">
      <c r="A222" s="34" t="s">
        <v>168</v>
      </c>
      <c r="B222" s="32" t="s">
        <v>541</v>
      </c>
      <c r="C222" s="32" t="s">
        <v>920</v>
      </c>
    </row>
    <row r="223" spans="1:3" x14ac:dyDescent="0.3">
      <c r="A223" s="34" t="s">
        <v>168</v>
      </c>
      <c r="B223" s="32" t="s">
        <v>542</v>
      </c>
      <c r="C223" s="32" t="s">
        <v>921</v>
      </c>
    </row>
    <row r="224" spans="1:3" ht="18" x14ac:dyDescent="0.3">
      <c r="A224" s="34" t="s">
        <v>168</v>
      </c>
      <c r="B224" s="39" t="s">
        <v>1254</v>
      </c>
      <c r="C224" s="39" t="s">
        <v>1255</v>
      </c>
    </row>
    <row r="225" spans="1:3" x14ac:dyDescent="0.3">
      <c r="A225" s="34" t="s">
        <v>168</v>
      </c>
      <c r="B225" s="56" t="s">
        <v>553</v>
      </c>
      <c r="C225" s="56" t="s">
        <v>931</v>
      </c>
    </row>
    <row r="226" spans="1:3" ht="57.6" x14ac:dyDescent="0.3">
      <c r="A226" s="34" t="s">
        <v>168</v>
      </c>
      <c r="B226" s="118" t="s">
        <v>789</v>
      </c>
      <c r="C226" s="118" t="s">
        <v>927</v>
      </c>
    </row>
    <row r="227" spans="1:3" x14ac:dyDescent="0.3">
      <c r="A227" s="34" t="s">
        <v>168</v>
      </c>
      <c r="B227" s="56" t="s">
        <v>554</v>
      </c>
      <c r="C227" s="56" t="s">
        <v>932</v>
      </c>
    </row>
    <row r="228" spans="1:3" ht="57.6" x14ac:dyDescent="0.3">
      <c r="A228" s="34" t="s">
        <v>168</v>
      </c>
      <c r="B228" s="111" t="s">
        <v>790</v>
      </c>
      <c r="C228" s="111" t="s">
        <v>925</v>
      </c>
    </row>
    <row r="229" spans="1:3" ht="18" x14ac:dyDescent="0.3">
      <c r="A229" s="34" t="s">
        <v>168</v>
      </c>
      <c r="B229" s="39" t="s">
        <v>1256</v>
      </c>
      <c r="C229" s="39" t="s">
        <v>1257</v>
      </c>
    </row>
    <row r="230" spans="1:3" x14ac:dyDescent="0.3">
      <c r="A230" s="34" t="s">
        <v>168</v>
      </c>
      <c r="B230" s="56" t="s">
        <v>555</v>
      </c>
      <c r="C230" s="56" t="s">
        <v>933</v>
      </c>
    </row>
    <row r="231" spans="1:3" ht="57.6" x14ac:dyDescent="0.3">
      <c r="A231" s="34" t="s">
        <v>168</v>
      </c>
      <c r="B231" s="111" t="s">
        <v>556</v>
      </c>
      <c r="C231" s="111" t="s">
        <v>926</v>
      </c>
    </row>
    <row r="232" spans="1:3" x14ac:dyDescent="0.3">
      <c r="A232" s="34" t="s">
        <v>168</v>
      </c>
      <c r="B232" s="56" t="s">
        <v>557</v>
      </c>
      <c r="C232" s="56" t="s">
        <v>934</v>
      </c>
    </row>
    <row r="233" spans="1:3" ht="57.6" x14ac:dyDescent="0.3">
      <c r="A233" s="34" t="s">
        <v>168</v>
      </c>
      <c r="B233" s="118" t="s">
        <v>687</v>
      </c>
      <c r="C233" s="118" t="s">
        <v>928</v>
      </c>
    </row>
    <row r="234" spans="1:3" x14ac:dyDescent="0.3">
      <c r="A234" s="34" t="s">
        <v>168</v>
      </c>
      <c r="B234" s="56" t="s">
        <v>558</v>
      </c>
      <c r="C234" s="56" t="s">
        <v>930</v>
      </c>
    </row>
    <row r="235" spans="1:3" ht="144" x14ac:dyDescent="0.3">
      <c r="A235" s="34" t="s">
        <v>168</v>
      </c>
      <c r="B235" s="118" t="s">
        <v>688</v>
      </c>
      <c r="C235" s="118" t="s">
        <v>929</v>
      </c>
    </row>
    <row r="236" spans="1:3" ht="18" x14ac:dyDescent="0.3">
      <c r="A236" s="34" t="s">
        <v>168</v>
      </c>
      <c r="B236" s="39" t="s">
        <v>1258</v>
      </c>
      <c r="C236" s="39" t="s">
        <v>1259</v>
      </c>
    </row>
    <row r="237" spans="1:3" ht="345.6" x14ac:dyDescent="0.3">
      <c r="A237" s="34" t="s">
        <v>168</v>
      </c>
      <c r="B237" s="118" t="s">
        <v>849</v>
      </c>
      <c r="C237" s="118" t="s">
        <v>935</v>
      </c>
    </row>
    <row r="238" spans="1:3" ht="18" x14ac:dyDescent="0.3">
      <c r="A238" s="34" t="s">
        <v>168</v>
      </c>
      <c r="B238" s="39" t="s">
        <v>1260</v>
      </c>
      <c r="C238" s="39" t="s">
        <v>1261</v>
      </c>
    </row>
    <row r="239" spans="1:3" ht="201.6" x14ac:dyDescent="0.3">
      <c r="A239" s="34" t="s">
        <v>168</v>
      </c>
      <c r="B239" s="32" t="s">
        <v>791</v>
      </c>
      <c r="C239" s="32" t="s">
        <v>936</v>
      </c>
    </row>
    <row r="240" spans="1:3" x14ac:dyDescent="0.3">
      <c r="A240" s="34" t="s">
        <v>168</v>
      </c>
      <c r="B240" s="56" t="s">
        <v>561</v>
      </c>
      <c r="C240" s="56" t="s">
        <v>948</v>
      </c>
    </row>
    <row r="241" spans="1:3" ht="86.4" x14ac:dyDescent="0.3">
      <c r="A241" s="34" t="s">
        <v>168</v>
      </c>
      <c r="B241" s="118" t="s">
        <v>559</v>
      </c>
      <c r="C241" s="118" t="s">
        <v>942</v>
      </c>
    </row>
    <row r="242" spans="1:3" x14ac:dyDescent="0.3">
      <c r="A242" s="34" t="s">
        <v>168</v>
      </c>
      <c r="B242" s="56" t="s">
        <v>562</v>
      </c>
      <c r="C242" s="56" t="s">
        <v>949</v>
      </c>
    </row>
    <row r="243" spans="1:3" ht="72" x14ac:dyDescent="0.3">
      <c r="A243" s="34" t="s">
        <v>168</v>
      </c>
      <c r="B243" s="118" t="s">
        <v>563</v>
      </c>
      <c r="C243" s="118" t="s">
        <v>943</v>
      </c>
    </row>
    <row r="244" spans="1:3" x14ac:dyDescent="0.3">
      <c r="A244" s="34" t="s">
        <v>168</v>
      </c>
      <c r="B244" s="56" t="s">
        <v>560</v>
      </c>
      <c r="C244" s="56" t="s">
        <v>950</v>
      </c>
    </row>
    <row r="245" spans="1:3" ht="43.2" x14ac:dyDescent="0.3">
      <c r="A245" s="34" t="s">
        <v>168</v>
      </c>
      <c r="B245" s="119" t="s">
        <v>792</v>
      </c>
      <c r="C245" s="119" t="s">
        <v>937</v>
      </c>
    </row>
    <row r="246" spans="1:3" x14ac:dyDescent="0.3">
      <c r="A246" s="34" t="s">
        <v>168</v>
      </c>
      <c r="B246" s="56" t="s">
        <v>566</v>
      </c>
      <c r="C246" s="56" t="s">
        <v>951</v>
      </c>
    </row>
    <row r="247" spans="1:3" ht="43.2" x14ac:dyDescent="0.3">
      <c r="A247" s="34" t="s">
        <v>168</v>
      </c>
      <c r="B247" s="118" t="s">
        <v>564</v>
      </c>
      <c r="C247" s="118" t="s">
        <v>938</v>
      </c>
    </row>
    <row r="248" spans="1:3" x14ac:dyDescent="0.3">
      <c r="A248" s="34" t="s">
        <v>168</v>
      </c>
      <c r="B248" s="56" t="s">
        <v>565</v>
      </c>
      <c r="C248" s="56" t="s">
        <v>952</v>
      </c>
    </row>
    <row r="249" spans="1:3" ht="43.2" x14ac:dyDescent="0.3">
      <c r="A249" s="34" t="s">
        <v>168</v>
      </c>
      <c r="B249" s="118" t="s">
        <v>567</v>
      </c>
      <c r="C249" s="118" t="s">
        <v>939</v>
      </c>
    </row>
    <row r="250" spans="1:3" x14ac:dyDescent="0.3">
      <c r="A250" s="34" t="s">
        <v>168</v>
      </c>
      <c r="B250" s="56" t="s">
        <v>568</v>
      </c>
      <c r="C250" s="56" t="s">
        <v>953</v>
      </c>
    </row>
    <row r="251" spans="1:3" ht="57.6" x14ac:dyDescent="0.3">
      <c r="A251" s="34" t="s">
        <v>168</v>
      </c>
      <c r="B251" s="118" t="s">
        <v>793</v>
      </c>
      <c r="C251" s="118" t="s">
        <v>940</v>
      </c>
    </row>
    <row r="252" spans="1:3" x14ac:dyDescent="0.3">
      <c r="A252" s="34" t="s">
        <v>168</v>
      </c>
      <c r="B252" s="56" t="s">
        <v>569</v>
      </c>
      <c r="C252" s="56" t="s">
        <v>954</v>
      </c>
    </row>
    <row r="253" spans="1:3" ht="28.8" x14ac:dyDescent="0.3">
      <c r="A253" s="34" t="s">
        <v>168</v>
      </c>
      <c r="B253" s="118" t="s">
        <v>570</v>
      </c>
      <c r="C253" s="118" t="s">
        <v>941</v>
      </c>
    </row>
    <row r="254" spans="1:3" x14ac:dyDescent="0.3">
      <c r="A254" s="34" t="s">
        <v>168</v>
      </c>
      <c r="B254" s="56" t="s">
        <v>571</v>
      </c>
      <c r="C254" s="56" t="s">
        <v>955</v>
      </c>
    </row>
    <row r="255" spans="1:3" ht="86.4" x14ac:dyDescent="0.3">
      <c r="A255" s="34" t="s">
        <v>168</v>
      </c>
      <c r="B255" s="119" t="s">
        <v>689</v>
      </c>
      <c r="C255" s="119" t="s">
        <v>946</v>
      </c>
    </row>
    <row r="256" spans="1:3" x14ac:dyDescent="0.3">
      <c r="A256" s="34" t="s">
        <v>168</v>
      </c>
      <c r="B256" s="56" t="s">
        <v>572</v>
      </c>
      <c r="C256" s="56" t="s">
        <v>956</v>
      </c>
    </row>
    <row r="257" spans="1:3" ht="28.8" x14ac:dyDescent="0.3">
      <c r="A257" s="34" t="s">
        <v>168</v>
      </c>
      <c r="B257" s="118" t="s">
        <v>573</v>
      </c>
      <c r="C257" s="118" t="s">
        <v>944</v>
      </c>
    </row>
    <row r="258" spans="1:3" x14ac:dyDescent="0.3">
      <c r="A258" s="34" t="s">
        <v>168</v>
      </c>
      <c r="B258" s="56" t="s">
        <v>574</v>
      </c>
      <c r="C258" s="56" t="s">
        <v>957</v>
      </c>
    </row>
    <row r="259" spans="1:3" ht="43.2" x14ac:dyDescent="0.3">
      <c r="A259" s="34" t="s">
        <v>168</v>
      </c>
      <c r="B259" s="118" t="s">
        <v>575</v>
      </c>
      <c r="C259" s="118" t="s">
        <v>945</v>
      </c>
    </row>
    <row r="260" spans="1:3" x14ac:dyDescent="0.3">
      <c r="A260" s="34" t="s">
        <v>168</v>
      </c>
      <c r="B260" s="56" t="s">
        <v>576</v>
      </c>
      <c r="C260" s="56" t="s">
        <v>958</v>
      </c>
    </row>
    <row r="261" spans="1:3" ht="187.2" x14ac:dyDescent="0.3">
      <c r="A261" s="34" t="s">
        <v>168</v>
      </c>
      <c r="B261" s="118" t="s">
        <v>794</v>
      </c>
      <c r="C261" s="118" t="s">
        <v>947</v>
      </c>
    </row>
    <row r="262" spans="1:3" x14ac:dyDescent="0.3">
      <c r="A262" s="34" t="s">
        <v>168</v>
      </c>
      <c r="B262" s="56" t="s">
        <v>577</v>
      </c>
      <c r="C262" s="56" t="s">
        <v>985</v>
      </c>
    </row>
    <row r="263" spans="1:3" x14ac:dyDescent="0.3">
      <c r="A263" s="34" t="s">
        <v>168</v>
      </c>
      <c r="B263" s="120" t="s">
        <v>578</v>
      </c>
      <c r="C263" s="120" t="s">
        <v>959</v>
      </c>
    </row>
    <row r="264" spans="1:3" ht="28.8" x14ac:dyDescent="0.3">
      <c r="A264" s="34" t="s">
        <v>168</v>
      </c>
      <c r="B264" s="121" t="s">
        <v>579</v>
      </c>
      <c r="C264" s="121" t="s">
        <v>960</v>
      </c>
    </row>
    <row r="265" spans="1:3" ht="57.6" x14ac:dyDescent="0.3">
      <c r="A265" s="34" t="s">
        <v>168</v>
      </c>
      <c r="B265" s="121" t="s">
        <v>580</v>
      </c>
      <c r="C265" s="121" t="s">
        <v>961</v>
      </c>
    </row>
    <row r="266" spans="1:3" x14ac:dyDescent="0.3">
      <c r="A266" s="34" t="s">
        <v>168</v>
      </c>
      <c r="B266" s="54" t="s">
        <v>581</v>
      </c>
      <c r="C266" s="54" t="s">
        <v>962</v>
      </c>
    </row>
    <row r="267" spans="1:3" x14ac:dyDescent="0.3">
      <c r="A267" s="34" t="s">
        <v>168</v>
      </c>
      <c r="B267" s="121" t="s">
        <v>582</v>
      </c>
      <c r="C267" s="121" t="s">
        <v>963</v>
      </c>
    </row>
    <row r="268" spans="1:3" x14ac:dyDescent="0.3">
      <c r="A268" s="34" t="s">
        <v>168</v>
      </c>
      <c r="B268" s="121" t="s">
        <v>583</v>
      </c>
      <c r="C268" s="121" t="s">
        <v>964</v>
      </c>
    </row>
    <row r="269" spans="1:3" x14ac:dyDescent="0.3">
      <c r="A269" s="34" t="s">
        <v>168</v>
      </c>
      <c r="B269" s="54" t="s">
        <v>584</v>
      </c>
      <c r="C269" s="54" t="s">
        <v>965</v>
      </c>
    </row>
    <row r="270" spans="1:3" ht="43.2" x14ac:dyDescent="0.3">
      <c r="A270" s="34" t="s">
        <v>168</v>
      </c>
      <c r="B270" s="121" t="s">
        <v>585</v>
      </c>
      <c r="C270" s="121" t="s">
        <v>966</v>
      </c>
    </row>
    <row r="271" spans="1:3" ht="28.8" x14ac:dyDescent="0.3">
      <c r="A271" s="34" t="s">
        <v>168</v>
      </c>
      <c r="B271" s="121" t="s">
        <v>586</v>
      </c>
      <c r="C271" s="121" t="s">
        <v>967</v>
      </c>
    </row>
    <row r="272" spans="1:3" x14ac:dyDescent="0.3">
      <c r="A272" s="34" t="s">
        <v>168</v>
      </c>
      <c r="B272" s="54" t="s">
        <v>587</v>
      </c>
      <c r="C272" s="54" t="s">
        <v>968</v>
      </c>
    </row>
    <row r="273" spans="1:3" ht="43.2" x14ac:dyDescent="0.3">
      <c r="A273" s="34" t="s">
        <v>168</v>
      </c>
      <c r="B273" s="121" t="s">
        <v>588</v>
      </c>
      <c r="C273" s="121" t="s">
        <v>969</v>
      </c>
    </row>
    <row r="274" spans="1:3" ht="43.2" x14ac:dyDescent="0.3">
      <c r="A274" s="34" t="s">
        <v>168</v>
      </c>
      <c r="B274" s="121" t="s">
        <v>589</v>
      </c>
      <c r="C274" s="121" t="s">
        <v>970</v>
      </c>
    </row>
    <row r="275" spans="1:3" x14ac:dyDescent="0.3">
      <c r="A275" s="34" t="s">
        <v>168</v>
      </c>
      <c r="B275" s="54" t="s">
        <v>590</v>
      </c>
      <c r="C275" s="54" t="s">
        <v>971</v>
      </c>
    </row>
    <row r="276" spans="1:3" ht="57.6" x14ac:dyDescent="0.3">
      <c r="A276" s="34" t="s">
        <v>168</v>
      </c>
      <c r="B276" s="32" t="s">
        <v>591</v>
      </c>
      <c r="C276" s="32" t="s">
        <v>972</v>
      </c>
    </row>
    <row r="277" spans="1:3" x14ac:dyDescent="0.3">
      <c r="A277" s="34" t="s">
        <v>168</v>
      </c>
      <c r="B277" s="56" t="s">
        <v>592</v>
      </c>
      <c r="C277" s="56" t="s">
        <v>986</v>
      </c>
    </row>
    <row r="278" spans="1:3" x14ac:dyDescent="0.3">
      <c r="A278" s="34" t="s">
        <v>168</v>
      </c>
      <c r="B278" s="122" t="s">
        <v>594</v>
      </c>
      <c r="C278" s="122" t="s">
        <v>973</v>
      </c>
    </row>
    <row r="279" spans="1:3" x14ac:dyDescent="0.3">
      <c r="A279" s="34" t="s">
        <v>168</v>
      </c>
      <c r="B279" s="5" t="s">
        <v>593</v>
      </c>
      <c r="C279" s="5" t="s">
        <v>974</v>
      </c>
    </row>
    <row r="280" spans="1:3" ht="100.8" x14ac:dyDescent="0.3">
      <c r="A280" s="34" t="s">
        <v>168</v>
      </c>
      <c r="B280" s="32" t="s">
        <v>690</v>
      </c>
      <c r="C280" s="32" t="s">
        <v>980</v>
      </c>
    </row>
    <row r="281" spans="1:3" x14ac:dyDescent="0.3">
      <c r="A281" s="34" t="s">
        <v>168</v>
      </c>
      <c r="B281" s="122" t="s">
        <v>601</v>
      </c>
      <c r="C281" s="122" t="s">
        <v>975</v>
      </c>
    </row>
    <row r="282" spans="1:3" ht="57.6" x14ac:dyDescent="0.3">
      <c r="A282" s="34" t="s">
        <v>168</v>
      </c>
      <c r="B282" s="32" t="s">
        <v>595</v>
      </c>
      <c r="C282" s="32" t="s">
        <v>976</v>
      </c>
    </row>
    <row r="283" spans="1:3" x14ac:dyDescent="0.3">
      <c r="A283" s="34" t="s">
        <v>168</v>
      </c>
      <c r="B283" s="122" t="s">
        <v>596</v>
      </c>
      <c r="C283" s="122" t="s">
        <v>977</v>
      </c>
    </row>
    <row r="284" spans="1:3" ht="43.2" x14ac:dyDescent="0.3">
      <c r="A284" s="34" t="s">
        <v>168</v>
      </c>
      <c r="B284" s="32" t="s">
        <v>597</v>
      </c>
      <c r="C284" s="32" t="s">
        <v>978</v>
      </c>
    </row>
    <row r="285" spans="1:3" ht="28.8" x14ac:dyDescent="0.3">
      <c r="A285" s="34" t="s">
        <v>168</v>
      </c>
      <c r="B285" s="32" t="s">
        <v>598</v>
      </c>
      <c r="C285" s="32" t="s">
        <v>979</v>
      </c>
    </row>
    <row r="286" spans="1:3" x14ac:dyDescent="0.3">
      <c r="A286" s="34" t="s">
        <v>168</v>
      </c>
      <c r="B286" s="122" t="s">
        <v>599</v>
      </c>
      <c r="C286" s="122" t="s">
        <v>981</v>
      </c>
    </row>
    <row r="287" spans="1:3" x14ac:dyDescent="0.3">
      <c r="A287" s="34" t="s">
        <v>168</v>
      </c>
      <c r="B287" s="5" t="s">
        <v>600</v>
      </c>
      <c r="C287" s="5" t="s">
        <v>982</v>
      </c>
    </row>
    <row r="288" spans="1:3" ht="16.2" x14ac:dyDescent="0.3">
      <c r="A288" s="34" t="s">
        <v>168</v>
      </c>
      <c r="B288" s="5" t="s">
        <v>1208</v>
      </c>
      <c r="C288" s="5" t="s">
        <v>1208</v>
      </c>
    </row>
    <row r="289" spans="1:3" ht="163.80000000000001" x14ac:dyDescent="0.3">
      <c r="A289" s="34" t="s">
        <v>168</v>
      </c>
      <c r="B289" s="32" t="s">
        <v>1207</v>
      </c>
      <c r="C289" s="32" t="s">
        <v>1393</v>
      </c>
    </row>
    <row r="290" spans="1:3" x14ac:dyDescent="0.3">
      <c r="A290" s="34" t="s">
        <v>168</v>
      </c>
      <c r="B290" s="44" t="e">
        <f>Tabelle!B59:F60</f>
        <v>#VALUE!</v>
      </c>
      <c r="C290" s="44" t="e">
        <f>Tabelle!B59:F60</f>
        <v>#VALUE!</v>
      </c>
    </row>
    <row r="291" spans="1:3" x14ac:dyDescent="0.3">
      <c r="A291" s="34" t="s">
        <v>168</v>
      </c>
      <c r="B291" s="42" t="s">
        <v>1479</v>
      </c>
      <c r="C291" s="42" t="s">
        <v>1480</v>
      </c>
    </row>
    <row r="292" spans="1:3" x14ac:dyDescent="0.3">
      <c r="A292" s="34" t="s">
        <v>168</v>
      </c>
      <c r="B292" s="122" t="s">
        <v>602</v>
      </c>
      <c r="C292" s="122" t="s">
        <v>983</v>
      </c>
    </row>
    <row r="293" spans="1:3" ht="57.6" x14ac:dyDescent="0.3">
      <c r="A293" s="34" t="s">
        <v>168</v>
      </c>
      <c r="B293" s="32" t="s">
        <v>603</v>
      </c>
      <c r="C293" s="32" t="s">
        <v>984</v>
      </c>
    </row>
    <row r="294" spans="1:3" ht="18" x14ac:dyDescent="0.3">
      <c r="A294" s="34" t="s">
        <v>168</v>
      </c>
      <c r="B294" s="39" t="s">
        <v>1262</v>
      </c>
      <c r="C294" s="39" t="s">
        <v>1263</v>
      </c>
    </row>
    <row r="295" spans="1:3" x14ac:dyDescent="0.3">
      <c r="A295" s="34" t="s">
        <v>168</v>
      </c>
      <c r="B295" s="56" t="s">
        <v>604</v>
      </c>
      <c r="C295" s="56" t="s">
        <v>998</v>
      </c>
    </row>
    <row r="296" spans="1:3" ht="86.4" x14ac:dyDescent="0.3">
      <c r="A296" s="34" t="s">
        <v>168</v>
      </c>
      <c r="B296" s="118" t="s">
        <v>605</v>
      </c>
      <c r="C296" s="118" t="s">
        <v>987</v>
      </c>
    </row>
    <row r="297" spans="1:3" x14ac:dyDescent="0.3">
      <c r="A297" s="34" t="s">
        <v>168</v>
      </c>
      <c r="B297" s="56" t="s">
        <v>606</v>
      </c>
      <c r="C297" s="56" t="s">
        <v>999</v>
      </c>
    </row>
    <row r="298" spans="1:3" ht="86.4" x14ac:dyDescent="0.3">
      <c r="A298" s="34" t="s">
        <v>168</v>
      </c>
      <c r="B298" s="118" t="s">
        <v>607</v>
      </c>
      <c r="C298" s="118" t="s">
        <v>988</v>
      </c>
    </row>
    <row r="299" spans="1:3" ht="158.4" x14ac:dyDescent="0.3">
      <c r="A299" s="34" t="s">
        <v>168</v>
      </c>
      <c r="B299" s="125" t="s">
        <v>691</v>
      </c>
      <c r="C299" s="125" t="s">
        <v>1006</v>
      </c>
    </row>
    <row r="300" spans="1:3" x14ac:dyDescent="0.3">
      <c r="A300" s="34" t="s">
        <v>168</v>
      </c>
      <c r="B300" s="56" t="s">
        <v>612</v>
      </c>
      <c r="C300" s="56" t="s">
        <v>996</v>
      </c>
    </row>
    <row r="301" spans="1:3" ht="100.8" x14ac:dyDescent="0.3">
      <c r="A301" s="34" t="s">
        <v>168</v>
      </c>
      <c r="B301" s="118" t="s">
        <v>608</v>
      </c>
      <c r="C301" s="118" t="s">
        <v>989</v>
      </c>
    </row>
    <row r="302" spans="1:3" x14ac:dyDescent="0.3">
      <c r="A302" s="34" t="s">
        <v>168</v>
      </c>
      <c r="B302" s="123" t="s">
        <v>609</v>
      </c>
      <c r="C302" s="123" t="s">
        <v>990</v>
      </c>
    </row>
    <row r="303" spans="1:3" x14ac:dyDescent="0.3">
      <c r="A303" s="34" t="s">
        <v>168</v>
      </c>
      <c r="B303" s="45" t="s">
        <v>610</v>
      </c>
      <c r="C303" s="45" t="s">
        <v>991</v>
      </c>
    </row>
    <row r="304" spans="1:3" x14ac:dyDescent="0.3">
      <c r="A304" s="34" t="s">
        <v>168</v>
      </c>
      <c r="B304" s="123" t="s">
        <v>611</v>
      </c>
      <c r="C304" s="123" t="s">
        <v>992</v>
      </c>
    </row>
    <row r="305" spans="1:3" x14ac:dyDescent="0.3">
      <c r="A305" s="34" t="s">
        <v>168</v>
      </c>
      <c r="B305" s="56" t="s">
        <v>614</v>
      </c>
      <c r="C305" s="56" t="s">
        <v>997</v>
      </c>
    </row>
    <row r="306" spans="1:3" ht="259.2" x14ac:dyDescent="0.3">
      <c r="A306" s="34" t="s">
        <v>168</v>
      </c>
      <c r="B306" s="118" t="s">
        <v>994</v>
      </c>
      <c r="C306" s="118" t="s">
        <v>995</v>
      </c>
    </row>
    <row r="307" spans="1:3" x14ac:dyDescent="0.3">
      <c r="A307" s="34" t="s">
        <v>168</v>
      </c>
      <c r="B307" s="45" t="s">
        <v>613</v>
      </c>
      <c r="C307" s="45" t="s">
        <v>993</v>
      </c>
    </row>
    <row r="308" spans="1:3" ht="18" x14ac:dyDescent="0.3">
      <c r="A308" s="34" t="s">
        <v>168</v>
      </c>
      <c r="B308" s="39" t="s">
        <v>1264</v>
      </c>
      <c r="C308" s="39" t="s">
        <v>1265</v>
      </c>
    </row>
    <row r="309" spans="1:3" ht="259.2" x14ac:dyDescent="0.3">
      <c r="A309" s="34" t="s">
        <v>168</v>
      </c>
      <c r="B309" s="118" t="s">
        <v>692</v>
      </c>
      <c r="C309" s="118" t="s">
        <v>1001</v>
      </c>
    </row>
    <row r="310" spans="1:3" x14ac:dyDescent="0.3">
      <c r="A310" s="34" t="s">
        <v>168</v>
      </c>
      <c r="B310" s="45" t="s">
        <v>615</v>
      </c>
      <c r="C310" s="45" t="s">
        <v>1000</v>
      </c>
    </row>
    <row r="311" spans="1:3" ht="21" x14ac:dyDescent="0.3">
      <c r="A311" s="34" t="s">
        <v>168</v>
      </c>
      <c r="B311" s="81" t="s">
        <v>1266</v>
      </c>
      <c r="C311" s="81" t="s">
        <v>1267</v>
      </c>
    </row>
    <row r="312" spans="1:3" ht="18" x14ac:dyDescent="0.3">
      <c r="A312" s="34" t="s">
        <v>168</v>
      </c>
      <c r="B312" s="39" t="s">
        <v>1268</v>
      </c>
      <c r="C312" s="39" t="s">
        <v>1269</v>
      </c>
    </row>
    <row r="313" spans="1:3" ht="302.39999999999998" x14ac:dyDescent="0.3">
      <c r="A313" s="34" t="s">
        <v>168</v>
      </c>
      <c r="B313" s="118" t="s">
        <v>693</v>
      </c>
      <c r="C313" s="118" t="s">
        <v>1002</v>
      </c>
    </row>
    <row r="314" spans="1:3" ht="18" x14ac:dyDescent="0.3">
      <c r="A314" s="34" t="s">
        <v>168</v>
      </c>
      <c r="B314" s="39" t="s">
        <v>1270</v>
      </c>
      <c r="C314" s="39" t="s">
        <v>1271</v>
      </c>
    </row>
    <row r="315" spans="1:3" x14ac:dyDescent="0.3">
      <c r="A315" s="34" t="s">
        <v>168</v>
      </c>
      <c r="B315" s="56" t="s">
        <v>616</v>
      </c>
      <c r="C315" s="56" t="s">
        <v>1007</v>
      </c>
    </row>
    <row r="316" spans="1:3" ht="57.6" x14ac:dyDescent="0.3">
      <c r="A316" s="34" t="s">
        <v>168</v>
      </c>
      <c r="B316" s="118" t="s">
        <v>853</v>
      </c>
      <c r="C316" s="118" t="s">
        <v>1003</v>
      </c>
    </row>
    <row r="317" spans="1:3" ht="18" x14ac:dyDescent="0.3">
      <c r="A317" s="34" t="s">
        <v>168</v>
      </c>
      <c r="B317" s="39" t="s">
        <v>1272</v>
      </c>
      <c r="C317" s="39" t="s">
        <v>1273</v>
      </c>
    </row>
    <row r="318" spans="1:3" x14ac:dyDescent="0.3">
      <c r="A318" s="34" t="s">
        <v>168</v>
      </c>
      <c r="B318" s="56" t="s">
        <v>617</v>
      </c>
      <c r="C318" s="56" t="s">
        <v>1008</v>
      </c>
    </row>
    <row r="319" spans="1:3" x14ac:dyDescent="0.3">
      <c r="A319" s="34" t="s">
        <v>168</v>
      </c>
      <c r="B319" s="118" t="s">
        <v>694</v>
      </c>
      <c r="C319" s="118" t="s">
        <v>1004</v>
      </c>
    </row>
    <row r="320" spans="1:3" x14ac:dyDescent="0.3">
      <c r="A320" s="34" t="s">
        <v>168</v>
      </c>
      <c r="B320" s="56" t="s">
        <v>618</v>
      </c>
      <c r="C320" s="56" t="s">
        <v>1009</v>
      </c>
    </row>
    <row r="321" spans="1:3" x14ac:dyDescent="0.3">
      <c r="A321" s="34" t="s">
        <v>168</v>
      </c>
      <c r="B321" s="122" t="s">
        <v>594</v>
      </c>
      <c r="C321" s="122" t="s">
        <v>973</v>
      </c>
    </row>
    <row r="322" spans="1:3" ht="28.8" x14ac:dyDescent="0.3">
      <c r="A322" s="34" t="s">
        <v>168</v>
      </c>
      <c r="B322" s="32" t="s">
        <v>795</v>
      </c>
      <c r="C322" s="32" t="s">
        <v>1005</v>
      </c>
    </row>
    <row r="323" spans="1:3" x14ac:dyDescent="0.3">
      <c r="A323" s="34" t="s">
        <v>168</v>
      </c>
      <c r="B323" s="45" t="s">
        <v>619</v>
      </c>
      <c r="C323" s="45" t="s">
        <v>1010</v>
      </c>
    </row>
    <row r="324" spans="1:3" ht="100.8" x14ac:dyDescent="0.3">
      <c r="A324" s="34" t="s">
        <v>168</v>
      </c>
      <c r="B324" s="32" t="s">
        <v>620</v>
      </c>
      <c r="C324" s="32" t="s">
        <v>1011</v>
      </c>
    </row>
    <row r="325" spans="1:3" x14ac:dyDescent="0.3">
      <c r="A325" s="34" t="s">
        <v>168</v>
      </c>
      <c r="B325" s="122" t="s">
        <v>621</v>
      </c>
      <c r="C325" s="122" t="s">
        <v>1012</v>
      </c>
    </row>
    <row r="326" spans="1:3" x14ac:dyDescent="0.3">
      <c r="A326" s="34" t="s">
        <v>168</v>
      </c>
      <c r="B326" s="122" t="s">
        <v>594</v>
      </c>
      <c r="C326" s="122"/>
    </row>
    <row r="327" spans="1:3" ht="43.2" x14ac:dyDescent="0.3">
      <c r="A327" s="34" t="s">
        <v>168</v>
      </c>
      <c r="B327" s="32" t="s">
        <v>796</v>
      </c>
      <c r="C327" s="32" t="s">
        <v>1017</v>
      </c>
    </row>
    <row r="328" spans="1:3" x14ac:dyDescent="0.3">
      <c r="A328" s="34" t="s">
        <v>168</v>
      </c>
      <c r="B328" s="122" t="s">
        <v>622</v>
      </c>
      <c r="C328" s="122" t="s">
        <v>1013</v>
      </c>
    </row>
    <row r="329" spans="1:3" ht="230.4" x14ac:dyDescent="0.3">
      <c r="A329" s="34" t="s">
        <v>168</v>
      </c>
      <c r="B329" s="112" t="s">
        <v>695</v>
      </c>
      <c r="C329" s="112" t="s">
        <v>1024</v>
      </c>
    </row>
    <row r="330" spans="1:3" x14ac:dyDescent="0.3">
      <c r="A330" s="34" t="s">
        <v>168</v>
      </c>
      <c r="B330" s="122" t="s">
        <v>623</v>
      </c>
      <c r="C330" s="122" t="s">
        <v>1014</v>
      </c>
    </row>
    <row r="331" spans="1:3" ht="28.8" x14ac:dyDescent="0.3">
      <c r="A331" s="34" t="s">
        <v>168</v>
      </c>
      <c r="B331" s="32" t="s">
        <v>624</v>
      </c>
      <c r="C331" s="32" t="s">
        <v>1015</v>
      </c>
    </row>
    <row r="332" spans="1:3" x14ac:dyDescent="0.3">
      <c r="A332" s="34" t="s">
        <v>168</v>
      </c>
      <c r="B332" s="122" t="s">
        <v>578</v>
      </c>
      <c r="C332" s="122" t="s">
        <v>959</v>
      </c>
    </row>
    <row r="333" spans="1:3" ht="43.2" x14ac:dyDescent="0.3">
      <c r="A333" s="34" t="s">
        <v>168</v>
      </c>
      <c r="B333" s="32" t="s">
        <v>625</v>
      </c>
      <c r="C333" s="32" t="s">
        <v>1016</v>
      </c>
    </row>
    <row r="334" spans="1:3" ht="36" x14ac:dyDescent="0.3">
      <c r="A334" s="34" t="s">
        <v>168</v>
      </c>
      <c r="B334" s="39" t="s">
        <v>1275</v>
      </c>
      <c r="C334" s="39" t="s">
        <v>1274</v>
      </c>
    </row>
    <row r="335" spans="1:3" ht="103.2" x14ac:dyDescent="0.35">
      <c r="A335" s="34" t="s">
        <v>168</v>
      </c>
      <c r="B335" s="32" t="s">
        <v>847</v>
      </c>
      <c r="C335" s="32" t="s">
        <v>1018</v>
      </c>
    </row>
    <row r="336" spans="1:3" ht="16.8" x14ac:dyDescent="0.35">
      <c r="A336" s="34" t="s">
        <v>168</v>
      </c>
      <c r="B336" s="14" t="s">
        <v>848</v>
      </c>
      <c r="C336" s="14" t="s">
        <v>1200</v>
      </c>
    </row>
    <row r="337" spans="1:4" ht="149.4" x14ac:dyDescent="0.3">
      <c r="A337" s="34" t="s">
        <v>168</v>
      </c>
      <c r="B337" s="32" t="s">
        <v>1204</v>
      </c>
      <c r="C337" s="32" t="s">
        <v>1019</v>
      </c>
    </row>
    <row r="338" spans="1:4" ht="28.8" x14ac:dyDescent="0.3">
      <c r="A338" s="34" t="s">
        <v>168</v>
      </c>
      <c r="B338" s="37" t="s">
        <v>626</v>
      </c>
      <c r="C338" s="37" t="s">
        <v>1020</v>
      </c>
    </row>
    <row r="339" spans="1:4" ht="43.2" x14ac:dyDescent="0.3">
      <c r="A339" s="34" t="s">
        <v>168</v>
      </c>
      <c r="B339" s="128" t="s">
        <v>797</v>
      </c>
      <c r="C339" s="128" t="s">
        <v>1021</v>
      </c>
    </row>
    <row r="340" spans="1:4" ht="57.6" x14ac:dyDescent="0.3">
      <c r="A340" s="34" t="s">
        <v>168</v>
      </c>
      <c r="B340" s="128" t="s">
        <v>627</v>
      </c>
      <c r="C340" s="128" t="s">
        <v>1022</v>
      </c>
    </row>
    <row r="341" spans="1:4" ht="28.8" x14ac:dyDescent="0.3">
      <c r="A341" s="34" t="s">
        <v>168</v>
      </c>
      <c r="B341" s="121" t="s">
        <v>628</v>
      </c>
      <c r="C341" s="121" t="s">
        <v>1023</v>
      </c>
    </row>
    <row r="342" spans="1:4" ht="28.8" x14ac:dyDescent="0.3">
      <c r="A342" s="34" t="s">
        <v>168</v>
      </c>
      <c r="B342" s="53" t="s">
        <v>1276</v>
      </c>
      <c r="C342" s="53" t="s">
        <v>1277</v>
      </c>
    </row>
    <row r="343" spans="1:4" ht="21" x14ac:dyDescent="0.3">
      <c r="A343" s="34" t="s">
        <v>168</v>
      </c>
      <c r="B343" s="81" t="s">
        <v>1278</v>
      </c>
      <c r="C343" s="81" t="s">
        <v>1279</v>
      </c>
    </row>
    <row r="344" spans="1:4" x14ac:dyDescent="0.3">
      <c r="A344" s="34" t="s">
        <v>854</v>
      </c>
      <c r="B344" s="45" t="s">
        <v>812</v>
      </c>
      <c r="C344" s="45" t="s">
        <v>1185</v>
      </c>
    </row>
    <row r="345" spans="1:4" x14ac:dyDescent="0.3">
      <c r="A345" s="34" t="s">
        <v>854</v>
      </c>
      <c r="B345" s="5" t="s">
        <v>813</v>
      </c>
      <c r="C345" s="5" t="s">
        <v>1025</v>
      </c>
    </row>
    <row r="346" spans="1:4" x14ac:dyDescent="0.3">
      <c r="A346" s="34" t="s">
        <v>854</v>
      </c>
      <c r="B346" s="45" t="s">
        <v>814</v>
      </c>
      <c r="C346" s="45" t="s">
        <v>1186</v>
      </c>
    </row>
    <row r="347" spans="1:4" x14ac:dyDescent="0.3">
      <c r="A347" s="34" t="s">
        <v>855</v>
      </c>
      <c r="B347" s="45" t="s">
        <v>815</v>
      </c>
      <c r="C347" s="45" t="s">
        <v>1187</v>
      </c>
    </row>
    <row r="348" spans="1:4" x14ac:dyDescent="0.3">
      <c r="A348" s="34" t="s">
        <v>855</v>
      </c>
      <c r="B348" s="5" t="s">
        <v>813</v>
      </c>
      <c r="C348" s="5" t="s">
        <v>1025</v>
      </c>
    </row>
    <row r="349" spans="1:4" x14ac:dyDescent="0.3">
      <c r="A349" s="34" t="s">
        <v>855</v>
      </c>
      <c r="B349" s="45" t="s">
        <v>816</v>
      </c>
      <c r="C349" s="45" t="s">
        <v>1188</v>
      </c>
    </row>
    <row r="350" spans="1:4" x14ac:dyDescent="0.3">
      <c r="A350" s="34" t="s">
        <v>856</v>
      </c>
      <c r="B350" s="45" t="s">
        <v>817</v>
      </c>
      <c r="C350" s="45" t="s">
        <v>1189</v>
      </c>
    </row>
    <row r="351" spans="1:4" x14ac:dyDescent="0.3">
      <c r="A351" s="34" t="s">
        <v>856</v>
      </c>
      <c r="B351" s="5" t="s">
        <v>813</v>
      </c>
      <c r="C351" s="5" t="s">
        <v>1025</v>
      </c>
    </row>
    <row r="352" spans="1:4" x14ac:dyDescent="0.3">
      <c r="A352" s="34" t="s">
        <v>856</v>
      </c>
      <c r="B352" s="45" t="s">
        <v>818</v>
      </c>
      <c r="C352" s="45" t="s">
        <v>1190</v>
      </c>
      <c r="D352" s="154"/>
    </row>
    <row r="353" spans="1:3" x14ac:dyDescent="0.3">
      <c r="A353" s="34" t="s">
        <v>857</v>
      </c>
      <c r="B353" s="45" t="s">
        <v>819</v>
      </c>
      <c r="C353" s="45" t="s">
        <v>819</v>
      </c>
    </row>
    <row r="354" spans="1:3" x14ac:dyDescent="0.3">
      <c r="A354" s="34" t="s">
        <v>857</v>
      </c>
      <c r="B354" s="5" t="s">
        <v>813</v>
      </c>
      <c r="C354" s="5" t="s">
        <v>1025</v>
      </c>
    </row>
    <row r="355" spans="1:3" x14ac:dyDescent="0.3">
      <c r="A355" s="34" t="s">
        <v>858</v>
      </c>
      <c r="B355" s="45" t="s">
        <v>820</v>
      </c>
      <c r="C355" s="45" t="s">
        <v>1191</v>
      </c>
    </row>
    <row r="356" spans="1:3" x14ac:dyDescent="0.3">
      <c r="A356" s="34" t="s">
        <v>858</v>
      </c>
      <c r="B356" s="5" t="s">
        <v>813</v>
      </c>
      <c r="C356" s="5" t="s">
        <v>1025</v>
      </c>
    </row>
    <row r="357" spans="1:3" x14ac:dyDescent="0.3">
      <c r="A357" s="34" t="s">
        <v>858</v>
      </c>
      <c r="B357" s="45" t="s">
        <v>821</v>
      </c>
      <c r="C357" s="45" t="s">
        <v>1192</v>
      </c>
    </row>
    <row r="358" spans="1:3" x14ac:dyDescent="0.3">
      <c r="A358" s="34" t="s">
        <v>859</v>
      </c>
      <c r="B358" s="45" t="s">
        <v>829</v>
      </c>
      <c r="C358" s="45" t="s">
        <v>1193</v>
      </c>
    </row>
    <row r="359" spans="1:3" x14ac:dyDescent="0.3">
      <c r="A359" s="34" t="s">
        <v>859</v>
      </c>
      <c r="B359" s="5" t="s">
        <v>813</v>
      </c>
      <c r="C359" s="5" t="s">
        <v>1025</v>
      </c>
    </row>
    <row r="360" spans="1:3" x14ac:dyDescent="0.3">
      <c r="A360" s="34" t="s">
        <v>822</v>
      </c>
      <c r="B360" s="45" t="s">
        <v>823</v>
      </c>
      <c r="C360" s="45" t="s">
        <v>1194</v>
      </c>
    </row>
    <row r="361" spans="1:3" x14ac:dyDescent="0.3">
      <c r="A361" s="34" t="s">
        <v>822</v>
      </c>
      <c r="B361" s="5" t="s">
        <v>813</v>
      </c>
      <c r="C361" s="5" t="s">
        <v>1025</v>
      </c>
    </row>
    <row r="362" spans="1:3" x14ac:dyDescent="0.3">
      <c r="A362" s="34" t="s">
        <v>824</v>
      </c>
      <c r="B362" s="45" t="s">
        <v>825</v>
      </c>
      <c r="C362" s="45" t="s">
        <v>1195</v>
      </c>
    </row>
    <row r="363" spans="1:3" x14ac:dyDescent="0.3">
      <c r="A363" s="34" t="s">
        <v>824</v>
      </c>
      <c r="B363" s="5" t="s">
        <v>813</v>
      </c>
      <c r="C363" s="5" t="s">
        <v>1025</v>
      </c>
    </row>
    <row r="364" spans="1:3" x14ac:dyDescent="0.3">
      <c r="A364" s="34" t="s">
        <v>860</v>
      </c>
      <c r="B364" s="45" t="s">
        <v>828</v>
      </c>
      <c r="C364" s="45" t="s">
        <v>828</v>
      </c>
    </row>
    <row r="365" spans="1:3" x14ac:dyDescent="0.3">
      <c r="A365" s="34" t="s">
        <v>860</v>
      </c>
      <c r="B365" s="5" t="s">
        <v>813</v>
      </c>
      <c r="C365" s="5" t="s">
        <v>1025</v>
      </c>
    </row>
    <row r="366" spans="1:3" x14ac:dyDescent="0.3">
      <c r="A366" s="34" t="s">
        <v>860</v>
      </c>
      <c r="B366" s="45" t="s">
        <v>826</v>
      </c>
      <c r="C366" s="45" t="s">
        <v>1196</v>
      </c>
    </row>
    <row r="367" spans="1:3" x14ac:dyDescent="0.3">
      <c r="A367" s="34" t="s">
        <v>861</v>
      </c>
      <c r="B367" s="45" t="s">
        <v>830</v>
      </c>
      <c r="C367" s="45" t="s">
        <v>830</v>
      </c>
    </row>
    <row r="368" spans="1:3" x14ac:dyDescent="0.3">
      <c r="A368" s="34" t="s">
        <v>861</v>
      </c>
      <c r="B368" s="5" t="s">
        <v>813</v>
      </c>
      <c r="C368" s="5" t="s">
        <v>1025</v>
      </c>
    </row>
    <row r="369" spans="1:3" x14ac:dyDescent="0.3">
      <c r="A369" s="34" t="s">
        <v>861</v>
      </c>
      <c r="B369" s="45" t="s">
        <v>827</v>
      </c>
      <c r="C369" s="45" t="s">
        <v>1197</v>
      </c>
    </row>
    <row r="370" spans="1:3" x14ac:dyDescent="0.3">
      <c r="A370" s="34" t="s">
        <v>862</v>
      </c>
      <c r="B370" s="45" t="s">
        <v>831</v>
      </c>
      <c r="C370" s="45" t="s">
        <v>1198</v>
      </c>
    </row>
    <row r="371" spans="1:3" x14ac:dyDescent="0.3">
      <c r="A371" s="34" t="s">
        <v>832</v>
      </c>
      <c r="B371" s="45" t="s">
        <v>833</v>
      </c>
      <c r="C371" s="45" t="s">
        <v>1199</v>
      </c>
    </row>
    <row r="372" spans="1:3" x14ac:dyDescent="0.3">
      <c r="A372" s="34" t="s">
        <v>1546</v>
      </c>
      <c r="B372" s="45" t="s">
        <v>1564</v>
      </c>
      <c r="C372" s="45" t="s">
        <v>1565</v>
      </c>
    </row>
    <row r="373" spans="1:3" x14ac:dyDescent="0.3">
      <c r="A373" s="34" t="s">
        <v>1568</v>
      </c>
      <c r="B373" s="45" t="s">
        <v>1569</v>
      </c>
      <c r="C373" s="45"/>
    </row>
    <row r="374" spans="1:3" ht="21" x14ac:dyDescent="0.3">
      <c r="A374" s="34" t="s">
        <v>881</v>
      </c>
      <c r="B374" s="81" t="s">
        <v>1280</v>
      </c>
      <c r="C374" s="81" t="s">
        <v>1281</v>
      </c>
    </row>
    <row r="375" spans="1:3" x14ac:dyDescent="0.3">
      <c r="A375" s="34" t="s">
        <v>881</v>
      </c>
      <c r="B375" s="44" t="e">
        <f>Tabelle!A213:F216</f>
        <v>#VALUE!</v>
      </c>
      <c r="C375" s="44" t="e">
        <f>Tabelle!A213:F216</f>
        <v>#VALUE!</v>
      </c>
    </row>
    <row r="376" spans="1:3" x14ac:dyDescent="0.3">
      <c r="A376" s="34" t="s">
        <v>881</v>
      </c>
      <c r="B376" s="42" t="s">
        <v>1437</v>
      </c>
      <c r="C376" s="42" t="s">
        <v>1438</v>
      </c>
    </row>
    <row r="377" spans="1:3" x14ac:dyDescent="0.3">
      <c r="A377" s="34" t="s">
        <v>881</v>
      </c>
      <c r="B377" s="5" t="s">
        <v>834</v>
      </c>
      <c r="C377" s="5" t="s">
        <v>1026</v>
      </c>
    </row>
    <row r="378" spans="1:3" x14ac:dyDescent="0.3">
      <c r="A378" s="34" t="s">
        <v>863</v>
      </c>
      <c r="B378" s="45" t="s">
        <v>836</v>
      </c>
      <c r="C378" s="45" t="s">
        <v>836</v>
      </c>
    </row>
    <row r="379" spans="1:3" x14ac:dyDescent="0.3">
      <c r="A379" s="34" t="s">
        <v>864</v>
      </c>
      <c r="B379" s="45" t="s">
        <v>837</v>
      </c>
      <c r="C379" s="45" t="s">
        <v>837</v>
      </c>
    </row>
    <row r="380" spans="1:3" x14ac:dyDescent="0.3">
      <c r="A380" s="34" t="s">
        <v>865</v>
      </c>
      <c r="B380" s="45" t="s">
        <v>838</v>
      </c>
      <c r="C380" s="45" t="s">
        <v>838</v>
      </c>
    </row>
    <row r="381" spans="1:3" x14ac:dyDescent="0.3">
      <c r="A381" s="34" t="s">
        <v>1527</v>
      </c>
      <c r="B381" s="45" t="s">
        <v>1530</v>
      </c>
      <c r="C381" s="45" t="s">
        <v>1530</v>
      </c>
    </row>
    <row r="382" spans="1:3" x14ac:dyDescent="0.3">
      <c r="A382" s="34" t="s">
        <v>866</v>
      </c>
      <c r="B382" s="45" t="s">
        <v>1525</v>
      </c>
      <c r="C382" s="45" t="s">
        <v>1525</v>
      </c>
    </row>
    <row r="383" spans="1:3" x14ac:dyDescent="0.3">
      <c r="A383" s="34" t="s">
        <v>1523</v>
      </c>
      <c r="B383" s="45" t="s">
        <v>1524</v>
      </c>
      <c r="C383" s="45" t="s">
        <v>1524</v>
      </c>
    </row>
    <row r="384" spans="1:3" x14ac:dyDescent="0.3">
      <c r="A384" s="34" t="s">
        <v>867</v>
      </c>
      <c r="B384" s="45" t="s">
        <v>839</v>
      </c>
      <c r="C384" s="45" t="s">
        <v>839</v>
      </c>
    </row>
    <row r="385" spans="1:3" x14ac:dyDescent="0.3">
      <c r="A385" s="34" t="s">
        <v>857</v>
      </c>
      <c r="B385" s="45" t="s">
        <v>840</v>
      </c>
      <c r="C385" s="45" t="s">
        <v>840</v>
      </c>
    </row>
    <row r="386" spans="1:3" x14ac:dyDescent="0.3">
      <c r="A386" s="34" t="s">
        <v>859</v>
      </c>
      <c r="B386" s="45" t="s">
        <v>835</v>
      </c>
      <c r="C386" s="45" t="s">
        <v>835</v>
      </c>
    </row>
    <row r="387" spans="1:3" ht="21" x14ac:dyDescent="0.3">
      <c r="A387" s="34" t="s">
        <v>168</v>
      </c>
      <c r="B387" s="81" t="s">
        <v>1282</v>
      </c>
      <c r="C387" s="81" t="s">
        <v>1283</v>
      </c>
    </row>
    <row r="388" spans="1:3" x14ac:dyDescent="0.3">
      <c r="A388" s="34" t="s">
        <v>168</v>
      </c>
      <c r="B388" s="47" t="s">
        <v>10</v>
      </c>
      <c r="C388" s="47" t="s">
        <v>155</v>
      </c>
    </row>
    <row r="389" spans="1:3" x14ac:dyDescent="0.3">
      <c r="A389" s="34" t="s">
        <v>168</v>
      </c>
      <c r="B389" s="117" t="s">
        <v>550</v>
      </c>
      <c r="C389" s="117" t="s">
        <v>906</v>
      </c>
    </row>
    <row r="390" spans="1:3" ht="28.8" x14ac:dyDescent="0.3">
      <c r="A390" s="34" t="s">
        <v>168</v>
      </c>
      <c r="B390" s="116" t="s">
        <v>552</v>
      </c>
      <c r="C390" s="116" t="s">
        <v>908</v>
      </c>
    </row>
    <row r="391" spans="1:3" x14ac:dyDescent="0.3">
      <c r="A391" s="34" t="s">
        <v>168</v>
      </c>
      <c r="B391" t="s">
        <v>841</v>
      </c>
      <c r="C391" t="s">
        <v>1027</v>
      </c>
    </row>
    <row r="392" spans="1:3" x14ac:dyDescent="0.3">
      <c r="A392" s="34" t="s">
        <v>168</v>
      </c>
      <c r="B392" s="44" t="e">
        <f>Tabelle!B255:F257</f>
        <v>#VALUE!</v>
      </c>
      <c r="C392" s="44" t="e">
        <f>Tabelle!B255:F257</f>
        <v>#VALUE!</v>
      </c>
    </row>
    <row r="393" spans="1:3" ht="43.2" x14ac:dyDescent="0.3">
      <c r="A393" s="34" t="s">
        <v>168</v>
      </c>
      <c r="B393" s="32" t="s">
        <v>842</v>
      </c>
      <c r="C393" s="32" t="s">
        <v>1028</v>
      </c>
    </row>
    <row r="394" spans="1:3" ht="21" x14ac:dyDescent="0.3">
      <c r="A394" s="34" t="s">
        <v>168</v>
      </c>
      <c r="B394" s="81" t="s">
        <v>1284</v>
      </c>
      <c r="C394" s="81" t="s">
        <v>1285</v>
      </c>
    </row>
    <row r="395" spans="1:3" ht="18" x14ac:dyDescent="0.3">
      <c r="A395" s="34" t="s">
        <v>168</v>
      </c>
      <c r="B395" s="39" t="s">
        <v>1286</v>
      </c>
      <c r="C395" s="39" t="s">
        <v>1287</v>
      </c>
    </row>
    <row r="396" spans="1:3" x14ac:dyDescent="0.3">
      <c r="A396" s="34" t="s">
        <v>168</v>
      </c>
      <c r="B396" s="45" t="s">
        <v>844</v>
      </c>
      <c r="C396" s="45" t="s">
        <v>844</v>
      </c>
    </row>
    <row r="397" spans="1:3" x14ac:dyDescent="0.3">
      <c r="A397" s="34" t="s">
        <v>168</v>
      </c>
      <c r="B397" s="42" t="s">
        <v>1439</v>
      </c>
      <c r="C397" s="42" t="s">
        <v>1440</v>
      </c>
    </row>
    <row r="398" spans="1:3" ht="28.8" x14ac:dyDescent="0.3">
      <c r="A398" s="34" t="s">
        <v>168</v>
      </c>
      <c r="B398" s="32" t="s">
        <v>843</v>
      </c>
      <c r="C398" s="32" t="s">
        <v>1029</v>
      </c>
    </row>
    <row r="399" spans="1:3" x14ac:dyDescent="0.3">
      <c r="A399" s="34" t="s">
        <v>168</v>
      </c>
      <c r="B399" s="44" t="e">
        <f>Tabelle!B292:G295</f>
        <v>#VALUE!</v>
      </c>
      <c r="C399" s="44" t="e">
        <f>Tabelle!B292:G295</f>
        <v>#VALUE!</v>
      </c>
    </row>
    <row r="400" spans="1:3" x14ac:dyDescent="0.3">
      <c r="A400" s="34" t="s">
        <v>168</v>
      </c>
      <c r="B400" s="42" t="s">
        <v>1441</v>
      </c>
      <c r="C400" s="42" t="s">
        <v>1442</v>
      </c>
    </row>
    <row r="401" spans="1:3" ht="18" x14ac:dyDescent="0.3">
      <c r="A401" s="34" t="s">
        <v>881</v>
      </c>
      <c r="B401" s="39" t="s">
        <v>1408</v>
      </c>
      <c r="C401" s="39" t="s">
        <v>1288</v>
      </c>
    </row>
    <row r="402" spans="1:3" x14ac:dyDescent="0.3">
      <c r="A402" s="34" t="s">
        <v>881</v>
      </c>
      <c r="B402" s="45" t="s">
        <v>845</v>
      </c>
      <c r="C402" s="45" t="s">
        <v>1030</v>
      </c>
    </row>
    <row r="403" spans="1:3" x14ac:dyDescent="0.3">
      <c r="A403" s="34" t="s">
        <v>881</v>
      </c>
      <c r="B403" s="42" t="s">
        <v>1443</v>
      </c>
      <c r="C403" s="42" t="s">
        <v>1444</v>
      </c>
    </row>
    <row r="404" spans="1:3" ht="43.2" x14ac:dyDescent="0.3">
      <c r="A404" s="34" t="s">
        <v>881</v>
      </c>
      <c r="B404" s="32" t="s">
        <v>900</v>
      </c>
      <c r="C404" s="32" t="s">
        <v>1031</v>
      </c>
    </row>
    <row r="405" spans="1:3" x14ac:dyDescent="0.3">
      <c r="A405" s="34" t="s">
        <v>881</v>
      </c>
      <c r="B405" s="44" t="e">
        <f>Tabelle!B297:G300</f>
        <v>#VALUE!</v>
      </c>
      <c r="C405" s="44" t="e">
        <f>Tabelle!B297:G300</f>
        <v>#VALUE!</v>
      </c>
    </row>
    <row r="406" spans="1:3" x14ac:dyDescent="0.3">
      <c r="A406" s="34" t="s">
        <v>881</v>
      </c>
      <c r="B406" s="42" t="s">
        <v>1445</v>
      </c>
      <c r="C406" s="42" t="s">
        <v>1446</v>
      </c>
    </row>
    <row r="407" spans="1:3" ht="158.4" x14ac:dyDescent="0.3">
      <c r="A407" s="34" t="s">
        <v>881</v>
      </c>
      <c r="B407" s="112" t="s">
        <v>846</v>
      </c>
      <c r="C407" s="112" t="s">
        <v>1032</v>
      </c>
    </row>
    <row r="408" spans="1:3" ht="28.8" x14ac:dyDescent="0.3">
      <c r="A408" s="34" t="s">
        <v>168</v>
      </c>
      <c r="B408" s="53" t="s">
        <v>1289</v>
      </c>
      <c r="C408" s="53" t="s">
        <v>1290</v>
      </c>
    </row>
    <row r="409" spans="1:3" ht="360" x14ac:dyDescent="0.3">
      <c r="A409" s="34" t="s">
        <v>168</v>
      </c>
      <c r="B409" s="32" t="s">
        <v>696</v>
      </c>
      <c r="C409" s="32" t="s">
        <v>1033</v>
      </c>
    </row>
    <row r="410" spans="1:3" x14ac:dyDescent="0.3">
      <c r="A410" s="34" t="s">
        <v>168</v>
      </c>
      <c r="B410" s="45" t="s">
        <v>629</v>
      </c>
      <c r="C410" s="45" t="s">
        <v>1034</v>
      </c>
    </row>
    <row r="411" spans="1:3" ht="86.4" x14ac:dyDescent="0.3">
      <c r="A411" s="34" t="s">
        <v>1</v>
      </c>
      <c r="B411" s="32" t="s">
        <v>697</v>
      </c>
      <c r="C411" s="32" t="s">
        <v>1035</v>
      </c>
    </row>
    <row r="412" spans="1:3" ht="86.4" x14ac:dyDescent="0.3">
      <c r="A412" s="34" t="s">
        <v>0</v>
      </c>
      <c r="B412" s="32" t="s">
        <v>697</v>
      </c>
      <c r="C412" s="32" t="s">
        <v>1035</v>
      </c>
    </row>
    <row r="413" spans="1:3" ht="28.8" x14ac:dyDescent="0.3">
      <c r="A413" s="34" t="s">
        <v>45</v>
      </c>
      <c r="B413" s="32" t="s">
        <v>630</v>
      </c>
      <c r="C413" s="32" t="s">
        <v>1036</v>
      </c>
    </row>
    <row r="414" spans="1:3" ht="21" x14ac:dyDescent="0.3">
      <c r="A414" s="34" t="s">
        <v>168</v>
      </c>
      <c r="B414" s="81" t="s">
        <v>1291</v>
      </c>
      <c r="C414" s="81" t="s">
        <v>1292</v>
      </c>
    </row>
    <row r="415" spans="1:3" ht="43.2" x14ac:dyDescent="0.3">
      <c r="A415" s="34" t="s">
        <v>168</v>
      </c>
      <c r="B415" s="32" t="s">
        <v>631</v>
      </c>
      <c r="C415" s="32" t="s">
        <v>1037</v>
      </c>
    </row>
    <row r="416" spans="1:3" x14ac:dyDescent="0.3">
      <c r="A416" s="34" t="s">
        <v>168</v>
      </c>
      <c r="B416" s="45" t="s">
        <v>632</v>
      </c>
      <c r="C416" s="45" t="s">
        <v>632</v>
      </c>
    </row>
    <row r="417" spans="1:3" x14ac:dyDescent="0.3">
      <c r="A417" s="34" t="s">
        <v>168</v>
      </c>
      <c r="B417" s="42" t="s">
        <v>1447</v>
      </c>
      <c r="C417" s="42" t="s">
        <v>1448</v>
      </c>
    </row>
    <row r="418" spans="1:3" x14ac:dyDescent="0.3">
      <c r="A418" s="34" t="s">
        <v>168</v>
      </c>
      <c r="B418" s="45" t="s">
        <v>788</v>
      </c>
      <c r="C418" s="45" t="s">
        <v>1040</v>
      </c>
    </row>
    <row r="419" spans="1:3" ht="28.8" x14ac:dyDescent="0.3">
      <c r="A419" s="34" t="s">
        <v>168</v>
      </c>
      <c r="B419" s="32" t="s">
        <v>633</v>
      </c>
      <c r="C419" s="32" t="s">
        <v>1038</v>
      </c>
    </row>
    <row r="420" spans="1:3" ht="43.2" x14ac:dyDescent="0.3">
      <c r="A420" s="34" t="s">
        <v>168</v>
      </c>
      <c r="B420" s="32" t="s">
        <v>634</v>
      </c>
      <c r="C420" s="32" t="s">
        <v>1039</v>
      </c>
    </row>
    <row r="421" spans="1:3" ht="21" x14ac:dyDescent="0.3">
      <c r="A421" s="34" t="s">
        <v>168</v>
      </c>
      <c r="B421" s="81" t="s">
        <v>1293</v>
      </c>
      <c r="C421" s="81" t="s">
        <v>1294</v>
      </c>
    </row>
    <row r="422" spans="1:3" ht="43.2" x14ac:dyDescent="0.3">
      <c r="A422" s="34" t="s">
        <v>168</v>
      </c>
      <c r="B422" s="32" t="s">
        <v>631</v>
      </c>
      <c r="C422" s="32" t="s">
        <v>1043</v>
      </c>
    </row>
    <row r="423" spans="1:3" x14ac:dyDescent="0.3">
      <c r="A423" s="34" t="s">
        <v>168</v>
      </c>
      <c r="B423" s="45" t="s">
        <v>635</v>
      </c>
      <c r="C423" s="45" t="s">
        <v>635</v>
      </c>
    </row>
    <row r="424" spans="1:3" x14ac:dyDescent="0.3">
      <c r="A424" s="34" t="s">
        <v>168</v>
      </c>
      <c r="B424" s="42" t="s">
        <v>1449</v>
      </c>
      <c r="C424" s="42" t="s">
        <v>1450</v>
      </c>
    </row>
    <row r="425" spans="1:3" x14ac:dyDescent="0.3">
      <c r="A425" s="34" t="s">
        <v>168</v>
      </c>
      <c r="B425" s="45" t="s">
        <v>787</v>
      </c>
      <c r="C425" s="45" t="s">
        <v>1041</v>
      </c>
    </row>
    <row r="426" spans="1:3" ht="28.8" x14ac:dyDescent="0.3">
      <c r="A426" s="34" t="s">
        <v>168</v>
      </c>
      <c r="B426" s="32" t="s">
        <v>633</v>
      </c>
      <c r="C426" s="32" t="s">
        <v>1038</v>
      </c>
    </row>
    <row r="427" spans="1:3" ht="43.2" x14ac:dyDescent="0.3">
      <c r="A427" s="34" t="s">
        <v>168</v>
      </c>
      <c r="B427" s="32" t="s">
        <v>634</v>
      </c>
      <c r="C427" s="32" t="s">
        <v>1044</v>
      </c>
    </row>
    <row r="428" spans="1:3" ht="21" x14ac:dyDescent="0.3">
      <c r="A428" s="34" t="s">
        <v>41</v>
      </c>
      <c r="B428" s="81" t="s">
        <v>1478</v>
      </c>
      <c r="C428" s="81" t="s">
        <v>1477</v>
      </c>
    </row>
    <row r="429" spans="1:3" ht="28.8" x14ac:dyDescent="0.3">
      <c r="A429" s="34" t="s">
        <v>41</v>
      </c>
      <c r="B429" s="32" t="s">
        <v>631</v>
      </c>
      <c r="C429" s="32" t="s">
        <v>1045</v>
      </c>
    </row>
    <row r="430" spans="1:3" x14ac:dyDescent="0.3">
      <c r="A430" s="34" t="s">
        <v>41</v>
      </c>
      <c r="B430" s="45" t="s">
        <v>636</v>
      </c>
      <c r="C430" s="45" t="s">
        <v>636</v>
      </c>
    </row>
    <row r="431" spans="1:3" x14ac:dyDescent="0.3">
      <c r="A431" s="34" t="s">
        <v>41</v>
      </c>
      <c r="B431" s="42" t="s">
        <v>1451</v>
      </c>
      <c r="C431" s="42" t="s">
        <v>1452</v>
      </c>
    </row>
    <row r="432" spans="1:3" x14ac:dyDescent="0.3">
      <c r="A432" s="34" t="s">
        <v>41</v>
      </c>
      <c r="B432" s="45" t="s">
        <v>786</v>
      </c>
      <c r="C432" s="45" t="s">
        <v>1042</v>
      </c>
    </row>
    <row r="433" spans="1:3" ht="28.8" x14ac:dyDescent="0.3">
      <c r="A433" s="34" t="s">
        <v>41</v>
      </c>
      <c r="B433" s="32" t="s">
        <v>633</v>
      </c>
      <c r="C433" s="32" t="s">
        <v>1038</v>
      </c>
    </row>
    <row r="434" spans="1:3" ht="43.2" x14ac:dyDescent="0.3">
      <c r="A434" s="34" t="s">
        <v>41</v>
      </c>
      <c r="B434" s="32" t="s">
        <v>634</v>
      </c>
      <c r="C434" s="32" t="s">
        <v>1046</v>
      </c>
    </row>
    <row r="435" spans="1:3" ht="21" x14ac:dyDescent="0.3">
      <c r="A435" s="34" t="s">
        <v>41</v>
      </c>
      <c r="B435" s="81" t="s">
        <v>1295</v>
      </c>
      <c r="C435" s="81" t="s">
        <v>1409</v>
      </c>
    </row>
    <row r="436" spans="1:3" ht="172.8" x14ac:dyDescent="0.3">
      <c r="A436" s="34" t="s">
        <v>41</v>
      </c>
      <c r="B436" s="32" t="s">
        <v>638</v>
      </c>
      <c r="C436" s="32" t="s">
        <v>1047</v>
      </c>
    </row>
    <row r="437" spans="1:3" x14ac:dyDescent="0.3">
      <c r="A437" s="34" t="s">
        <v>41</v>
      </c>
      <c r="B437" s="45" t="s">
        <v>637</v>
      </c>
      <c r="C437" s="45" t="s">
        <v>637</v>
      </c>
    </row>
    <row r="438" spans="1:3" x14ac:dyDescent="0.3">
      <c r="A438" s="34" t="s">
        <v>41</v>
      </c>
      <c r="B438" s="42" t="s">
        <v>1453</v>
      </c>
      <c r="C438" s="42" t="s">
        <v>1454</v>
      </c>
    </row>
    <row r="439" spans="1:3" x14ac:dyDescent="0.3">
      <c r="A439" s="34" t="s">
        <v>41</v>
      </c>
      <c r="B439" s="45" t="s">
        <v>785</v>
      </c>
      <c r="C439" s="45" t="s">
        <v>1048</v>
      </c>
    </row>
    <row r="440" spans="1:3" ht="43.2" x14ac:dyDescent="0.3">
      <c r="A440" s="34" t="s">
        <v>41</v>
      </c>
      <c r="B440" s="32" t="s">
        <v>634</v>
      </c>
      <c r="C440" s="32" t="s">
        <v>1046</v>
      </c>
    </row>
    <row r="441" spans="1:3" ht="21" x14ac:dyDescent="0.3">
      <c r="A441" s="34" t="s">
        <v>881</v>
      </c>
      <c r="B441" s="81" t="s">
        <v>1410</v>
      </c>
      <c r="C441" s="81" t="s">
        <v>1296</v>
      </c>
    </row>
    <row r="442" spans="1:3" ht="28.8" x14ac:dyDescent="0.3">
      <c r="A442" s="34" t="s">
        <v>881</v>
      </c>
      <c r="B442" s="32" t="s">
        <v>639</v>
      </c>
      <c r="C442" s="32" t="s">
        <v>1049</v>
      </c>
    </row>
    <row r="443" spans="1:3" x14ac:dyDescent="0.3">
      <c r="A443" s="34" t="s">
        <v>881</v>
      </c>
      <c r="B443" s="47" t="s">
        <v>373</v>
      </c>
      <c r="C443" s="47" t="s">
        <v>155</v>
      </c>
    </row>
    <row r="444" spans="1:3" x14ac:dyDescent="0.3">
      <c r="A444" s="34" t="s">
        <v>881</v>
      </c>
      <c r="B444" s="78" t="s">
        <v>640</v>
      </c>
      <c r="C444" s="78" t="s">
        <v>1050</v>
      </c>
    </row>
    <row r="445" spans="1:3" x14ac:dyDescent="0.3">
      <c r="A445" s="34" t="s">
        <v>881</v>
      </c>
      <c r="B445" s="45" t="s">
        <v>641</v>
      </c>
      <c r="C445" s="45" t="s">
        <v>641</v>
      </c>
    </row>
    <row r="446" spans="1:3" x14ac:dyDescent="0.3">
      <c r="A446" s="34" t="s">
        <v>881</v>
      </c>
      <c r="B446" s="42" t="s">
        <v>1455</v>
      </c>
      <c r="C446" s="42" t="s">
        <v>1456</v>
      </c>
    </row>
    <row r="447" spans="1:3" ht="21" x14ac:dyDescent="0.3">
      <c r="A447" s="34" t="s">
        <v>168</v>
      </c>
      <c r="B447" s="81" t="s">
        <v>1297</v>
      </c>
      <c r="C447" s="81" t="s">
        <v>1298</v>
      </c>
    </row>
    <row r="448" spans="1:3" ht="273.60000000000002" x14ac:dyDescent="0.3">
      <c r="A448" s="34" t="s">
        <v>168</v>
      </c>
      <c r="B448" s="32" t="s">
        <v>642</v>
      </c>
      <c r="C448" s="32" t="s">
        <v>1051</v>
      </c>
    </row>
    <row r="449" spans="1:3" ht="43.2" x14ac:dyDescent="0.3">
      <c r="A449" s="34" t="s">
        <v>168</v>
      </c>
      <c r="B449" s="32" t="s">
        <v>643</v>
      </c>
      <c r="C449" s="32" t="s">
        <v>1052</v>
      </c>
    </row>
    <row r="450" spans="1:3" ht="18" x14ac:dyDescent="0.3">
      <c r="A450" s="34" t="s">
        <v>168</v>
      </c>
      <c r="B450" s="39" t="s">
        <v>1299</v>
      </c>
      <c r="C450" s="39" t="s">
        <v>1300</v>
      </c>
    </row>
    <row r="451" spans="1:3" ht="43.2" x14ac:dyDescent="0.3">
      <c r="A451" s="34" t="s">
        <v>168</v>
      </c>
      <c r="B451" s="37" t="s">
        <v>644</v>
      </c>
      <c r="C451" s="37" t="s">
        <v>1053</v>
      </c>
    </row>
    <row r="452" spans="1:3" ht="18" x14ac:dyDescent="0.3">
      <c r="A452" s="34" t="s">
        <v>168</v>
      </c>
      <c r="B452" s="39" t="s">
        <v>1301</v>
      </c>
      <c r="C452" s="39" t="s">
        <v>1302</v>
      </c>
    </row>
    <row r="453" spans="1:3" x14ac:dyDescent="0.3">
      <c r="A453" s="34" t="s">
        <v>168</v>
      </c>
      <c r="B453" s="37" t="s">
        <v>645</v>
      </c>
      <c r="C453" s="37" t="s">
        <v>1201</v>
      </c>
    </row>
    <row r="454" spans="1:3" ht="18" x14ac:dyDescent="0.3">
      <c r="A454" s="34" t="s">
        <v>168</v>
      </c>
      <c r="B454" s="39" t="s">
        <v>1303</v>
      </c>
      <c r="C454" s="39" t="s">
        <v>1304</v>
      </c>
    </row>
    <row r="455" spans="1:3" ht="57.6" x14ac:dyDescent="0.3">
      <c r="A455" s="34" t="s">
        <v>168</v>
      </c>
      <c r="B455" s="37" t="s">
        <v>646</v>
      </c>
      <c r="C455" s="37" t="s">
        <v>1054</v>
      </c>
    </row>
    <row r="456" spans="1:3" ht="18" x14ac:dyDescent="0.3">
      <c r="A456" s="34" t="s">
        <v>168</v>
      </c>
      <c r="B456" s="39" t="s">
        <v>1305</v>
      </c>
      <c r="C456" s="39" t="s">
        <v>1306</v>
      </c>
    </row>
    <row r="457" spans="1:3" ht="28.8" x14ac:dyDescent="0.3">
      <c r="A457" s="34" t="s">
        <v>168</v>
      </c>
      <c r="B457" s="37" t="s">
        <v>647</v>
      </c>
      <c r="C457" s="37" t="s">
        <v>1055</v>
      </c>
    </row>
    <row r="458" spans="1:3" ht="18" x14ac:dyDescent="0.3">
      <c r="A458" s="34" t="s">
        <v>168</v>
      </c>
      <c r="B458" s="39" t="s">
        <v>1307</v>
      </c>
      <c r="C458" s="39" t="s">
        <v>1308</v>
      </c>
    </row>
    <row r="459" spans="1:3" ht="43.2" x14ac:dyDescent="0.3">
      <c r="A459" s="34" t="s">
        <v>168</v>
      </c>
      <c r="B459" s="37" t="s">
        <v>648</v>
      </c>
      <c r="C459" s="37" t="s">
        <v>1056</v>
      </c>
    </row>
    <row r="460" spans="1:3" ht="28.8" x14ac:dyDescent="0.3">
      <c r="A460" s="34" t="s">
        <v>168</v>
      </c>
      <c r="B460" s="37" t="s">
        <v>649</v>
      </c>
      <c r="C460" s="37" t="s">
        <v>1057</v>
      </c>
    </row>
    <row r="461" spans="1:3" x14ac:dyDescent="0.3">
      <c r="A461" s="34" t="s">
        <v>168</v>
      </c>
      <c r="B461" s="80" t="s">
        <v>650</v>
      </c>
      <c r="C461" s="80" t="s">
        <v>1058</v>
      </c>
    </row>
    <row r="462" spans="1:3" ht="86.4" x14ac:dyDescent="0.3">
      <c r="A462" s="34" t="s">
        <v>168</v>
      </c>
      <c r="B462" s="37" t="s">
        <v>651</v>
      </c>
      <c r="C462" s="37" t="s">
        <v>1059</v>
      </c>
    </row>
    <row r="463" spans="1:3" x14ac:dyDescent="0.3">
      <c r="A463" s="34" t="s">
        <v>168</v>
      </c>
      <c r="B463" s="80" t="s">
        <v>652</v>
      </c>
      <c r="C463" s="80" t="s">
        <v>1060</v>
      </c>
    </row>
    <row r="464" spans="1:3" ht="28.8" x14ac:dyDescent="0.3">
      <c r="A464" s="34" t="s">
        <v>168</v>
      </c>
      <c r="B464" s="37" t="s">
        <v>653</v>
      </c>
      <c r="C464" s="37" t="s">
        <v>1061</v>
      </c>
    </row>
    <row r="465" spans="1:3" x14ac:dyDescent="0.3">
      <c r="A465" s="34" t="s">
        <v>168</v>
      </c>
      <c r="B465" s="80" t="s">
        <v>654</v>
      </c>
      <c r="C465" s="80" t="s">
        <v>1062</v>
      </c>
    </row>
    <row r="466" spans="1:3" ht="28.8" x14ac:dyDescent="0.3">
      <c r="A466" s="34" t="s">
        <v>168</v>
      </c>
      <c r="B466" s="37" t="s">
        <v>655</v>
      </c>
      <c r="C466" s="37" t="s">
        <v>1063</v>
      </c>
    </row>
    <row r="467" spans="1:3" x14ac:dyDescent="0.3">
      <c r="A467" s="34" t="s">
        <v>168</v>
      </c>
      <c r="B467" s="37" t="s">
        <v>656</v>
      </c>
      <c r="C467" s="37" t="s">
        <v>1064</v>
      </c>
    </row>
    <row r="468" spans="1:3" ht="18" x14ac:dyDescent="0.3">
      <c r="A468" s="34" t="s">
        <v>168</v>
      </c>
      <c r="B468" s="39" t="s">
        <v>1309</v>
      </c>
      <c r="C468" s="39" t="s">
        <v>1310</v>
      </c>
    </row>
    <row r="469" spans="1:3" ht="43.2" x14ac:dyDescent="0.3">
      <c r="A469" s="34" t="s">
        <v>168</v>
      </c>
      <c r="B469" s="37" t="s">
        <v>657</v>
      </c>
      <c r="C469" s="37" t="s">
        <v>1065</v>
      </c>
    </row>
    <row r="470" spans="1:3" ht="18" x14ac:dyDescent="0.3">
      <c r="A470" s="34" t="s">
        <v>168</v>
      </c>
      <c r="B470" s="39" t="s">
        <v>1311</v>
      </c>
      <c r="C470" s="39" t="s">
        <v>1312</v>
      </c>
    </row>
    <row r="471" spans="1:3" ht="28.8" x14ac:dyDescent="0.3">
      <c r="A471" s="34" t="s">
        <v>168</v>
      </c>
      <c r="B471" s="37" t="s">
        <v>658</v>
      </c>
      <c r="C471" s="37" t="s">
        <v>1066</v>
      </c>
    </row>
    <row r="472" spans="1:3" ht="18" x14ac:dyDescent="0.3">
      <c r="A472" s="34" t="s">
        <v>168</v>
      </c>
      <c r="B472" s="39" t="s">
        <v>1313</v>
      </c>
      <c r="C472" s="39" t="s">
        <v>1314</v>
      </c>
    </row>
    <row r="473" spans="1:3" ht="57.6" x14ac:dyDescent="0.3">
      <c r="A473" s="34" t="s">
        <v>168</v>
      </c>
      <c r="B473" s="37" t="s">
        <v>659</v>
      </c>
      <c r="C473" s="37" t="s">
        <v>1067</v>
      </c>
    </row>
    <row r="474" spans="1:3" ht="18" x14ac:dyDescent="0.3">
      <c r="A474" s="34" t="s">
        <v>168</v>
      </c>
      <c r="B474" s="39" t="s">
        <v>1315</v>
      </c>
      <c r="C474" s="39" t="s">
        <v>1316</v>
      </c>
    </row>
    <row r="475" spans="1:3" x14ac:dyDescent="0.3">
      <c r="A475" s="34" t="s">
        <v>168</v>
      </c>
      <c r="B475" s="37" t="s">
        <v>645</v>
      </c>
      <c r="C475" s="37" t="s">
        <v>1068</v>
      </c>
    </row>
    <row r="476" spans="1:3" ht="18" x14ac:dyDescent="0.3">
      <c r="A476" s="34" t="s">
        <v>168</v>
      </c>
      <c r="B476" s="39" t="s">
        <v>1317</v>
      </c>
      <c r="C476" s="39" t="s">
        <v>1318</v>
      </c>
    </row>
    <row r="477" spans="1:3" ht="57.6" x14ac:dyDescent="0.3">
      <c r="A477" s="34" t="s">
        <v>168</v>
      </c>
      <c r="B477" s="37" t="s">
        <v>660</v>
      </c>
      <c r="C477" s="37" t="s">
        <v>1069</v>
      </c>
    </row>
    <row r="478" spans="1:3" ht="28.8" x14ac:dyDescent="0.3">
      <c r="A478" s="34" t="s">
        <v>168</v>
      </c>
      <c r="B478" s="37" t="s">
        <v>661</v>
      </c>
      <c r="C478" s="37" t="s">
        <v>1070</v>
      </c>
    </row>
    <row r="479" spans="1:3" ht="57.6" x14ac:dyDescent="0.3">
      <c r="A479" s="34" t="s">
        <v>168</v>
      </c>
      <c r="B479" s="32" t="s">
        <v>662</v>
      </c>
      <c r="C479" s="32" t="s">
        <v>1071</v>
      </c>
    </row>
    <row r="480" spans="1:3" ht="18" x14ac:dyDescent="0.3">
      <c r="A480" s="34" t="s">
        <v>168</v>
      </c>
      <c r="B480" s="39" t="s">
        <v>1411</v>
      </c>
      <c r="C480" s="39" t="s">
        <v>1319</v>
      </c>
    </row>
    <row r="481" spans="1:3" ht="129.6" x14ac:dyDescent="0.3">
      <c r="A481" s="34" t="s">
        <v>168</v>
      </c>
      <c r="B481" s="32" t="s">
        <v>663</v>
      </c>
      <c r="C481" s="32" t="s">
        <v>1073</v>
      </c>
    </row>
    <row r="482" spans="1:3" x14ac:dyDescent="0.3">
      <c r="A482" s="34" t="s">
        <v>168</v>
      </c>
      <c r="B482" s="45" t="s">
        <v>664</v>
      </c>
      <c r="C482" s="45" t="s">
        <v>664</v>
      </c>
    </row>
    <row r="483" spans="1:3" x14ac:dyDescent="0.3">
      <c r="A483" s="34" t="s">
        <v>168</v>
      </c>
      <c r="B483" s="42" t="s">
        <v>1457</v>
      </c>
      <c r="C483" s="42" t="s">
        <v>1458</v>
      </c>
    </row>
    <row r="484" spans="1:3" ht="18" x14ac:dyDescent="0.3">
      <c r="A484" s="34" t="s">
        <v>168</v>
      </c>
      <c r="B484" s="39" t="s">
        <v>1412</v>
      </c>
      <c r="C484" s="39" t="s">
        <v>1320</v>
      </c>
    </row>
    <row r="485" spans="1:3" ht="158.4" x14ac:dyDescent="0.3">
      <c r="A485" s="34" t="s">
        <v>168</v>
      </c>
      <c r="B485" s="32" t="s">
        <v>665</v>
      </c>
      <c r="C485" s="32" t="s">
        <v>1074</v>
      </c>
    </row>
    <row r="486" spans="1:3" x14ac:dyDescent="0.3">
      <c r="A486" s="34" t="s">
        <v>168</v>
      </c>
      <c r="B486" s="45" t="s">
        <v>666</v>
      </c>
      <c r="C486" s="45" t="s">
        <v>666</v>
      </c>
    </row>
    <row r="487" spans="1:3" x14ac:dyDescent="0.3">
      <c r="A487" s="34" t="s">
        <v>168</v>
      </c>
      <c r="B487" s="42" t="s">
        <v>1459</v>
      </c>
      <c r="C487" s="42" t="s">
        <v>1460</v>
      </c>
    </row>
    <row r="488" spans="1:3" ht="18" x14ac:dyDescent="0.3">
      <c r="A488" s="34" t="s">
        <v>168</v>
      </c>
      <c r="B488" s="39" t="s">
        <v>1321</v>
      </c>
      <c r="C488" s="39" t="s">
        <v>1322</v>
      </c>
    </row>
    <row r="489" spans="1:3" ht="86.4" x14ac:dyDescent="0.3">
      <c r="A489" s="34" t="s">
        <v>168</v>
      </c>
      <c r="B489" s="37" t="s">
        <v>667</v>
      </c>
      <c r="C489" s="37" t="s">
        <v>1072</v>
      </c>
    </row>
    <row r="490" spans="1:3" ht="18" x14ac:dyDescent="0.3">
      <c r="A490" s="34" t="s">
        <v>168</v>
      </c>
      <c r="B490" s="39" t="s">
        <v>1323</v>
      </c>
      <c r="C490" s="39" t="s">
        <v>1324</v>
      </c>
    </row>
    <row r="491" spans="1:3" x14ac:dyDescent="0.3">
      <c r="A491" s="34" t="s">
        <v>168</v>
      </c>
      <c r="B491" s="37" t="s">
        <v>668</v>
      </c>
      <c r="C491" s="37" t="s">
        <v>1075</v>
      </c>
    </row>
    <row r="492" spans="1:3" ht="18" x14ac:dyDescent="0.3">
      <c r="A492" s="34" t="s">
        <v>168</v>
      </c>
      <c r="B492" s="39" t="s">
        <v>1325</v>
      </c>
      <c r="C492" s="39" t="s">
        <v>1326</v>
      </c>
    </row>
    <row r="493" spans="1:3" x14ac:dyDescent="0.3">
      <c r="A493" s="34" t="s">
        <v>168</v>
      </c>
      <c r="B493" s="37" t="s">
        <v>669</v>
      </c>
      <c r="C493" s="37" t="s">
        <v>1076</v>
      </c>
    </row>
    <row r="494" spans="1:3" ht="18" x14ac:dyDescent="0.3">
      <c r="A494" s="34" t="s">
        <v>168</v>
      </c>
      <c r="B494" s="39" t="s">
        <v>1327</v>
      </c>
      <c r="C494" s="39" t="s">
        <v>1328</v>
      </c>
    </row>
    <row r="495" spans="1:3" x14ac:dyDescent="0.3">
      <c r="A495" s="34" t="s">
        <v>168</v>
      </c>
      <c r="B495" s="37" t="s">
        <v>670</v>
      </c>
      <c r="C495" s="37" t="s">
        <v>1077</v>
      </c>
    </row>
    <row r="496" spans="1:3" ht="18" x14ac:dyDescent="0.3">
      <c r="A496" s="34" t="s">
        <v>168</v>
      </c>
      <c r="B496" s="39" t="s">
        <v>1329</v>
      </c>
      <c r="C496" s="39" t="s">
        <v>1330</v>
      </c>
    </row>
    <row r="497" spans="1:3" x14ac:dyDescent="0.3">
      <c r="A497" s="34" t="s">
        <v>168</v>
      </c>
      <c r="B497" s="37" t="s">
        <v>671</v>
      </c>
      <c r="C497" s="37" t="s">
        <v>1078</v>
      </c>
    </row>
    <row r="498" spans="1:3" ht="18" x14ac:dyDescent="0.3">
      <c r="A498" s="34" t="s">
        <v>168</v>
      </c>
      <c r="B498" s="39" t="s">
        <v>1331</v>
      </c>
      <c r="C498" s="39" t="s">
        <v>1332</v>
      </c>
    </row>
    <row r="499" spans="1:3" x14ac:dyDescent="0.3">
      <c r="A499" s="34" t="s">
        <v>168</v>
      </c>
      <c r="B499" s="37" t="s">
        <v>671</v>
      </c>
      <c r="C499" s="37" t="s">
        <v>1078</v>
      </c>
    </row>
    <row r="500" spans="1:3" ht="18" x14ac:dyDescent="0.3">
      <c r="A500" s="34" t="s">
        <v>168</v>
      </c>
      <c r="B500" s="39" t="s">
        <v>1333</v>
      </c>
      <c r="C500" s="39" t="s">
        <v>1334</v>
      </c>
    </row>
    <row r="501" spans="1:3" ht="28.8" x14ac:dyDescent="0.3">
      <c r="A501" s="34" t="s">
        <v>168</v>
      </c>
      <c r="B501" s="37" t="s">
        <v>672</v>
      </c>
      <c r="C501" s="37" t="s">
        <v>1079</v>
      </c>
    </row>
    <row r="502" spans="1:3" ht="21" x14ac:dyDescent="0.3">
      <c r="A502" s="34" t="s">
        <v>168</v>
      </c>
      <c r="B502" s="81" t="s">
        <v>1335</v>
      </c>
      <c r="C502" s="81" t="s">
        <v>1336</v>
      </c>
    </row>
    <row r="503" spans="1:3" ht="18" x14ac:dyDescent="0.3">
      <c r="A503" s="34" t="s">
        <v>168</v>
      </c>
      <c r="B503" s="39" t="s">
        <v>1337</v>
      </c>
      <c r="C503" s="39" t="s">
        <v>1338</v>
      </c>
    </row>
    <row r="504" spans="1:3" x14ac:dyDescent="0.3">
      <c r="A504" s="34" t="s">
        <v>168</v>
      </c>
      <c r="B504" s="47" t="s">
        <v>10</v>
      </c>
      <c r="C504" s="47" t="s">
        <v>155</v>
      </c>
    </row>
    <row r="505" spans="1:3" x14ac:dyDescent="0.3">
      <c r="A505" s="34" t="s">
        <v>168</v>
      </c>
      <c r="B505" s="78" t="s">
        <v>737</v>
      </c>
      <c r="C505" s="78" t="s">
        <v>1080</v>
      </c>
    </row>
    <row r="506" spans="1:3" x14ac:dyDescent="0.3">
      <c r="A506" s="34" t="s">
        <v>168</v>
      </c>
      <c r="B506" s="78" t="s">
        <v>738</v>
      </c>
      <c r="C506" s="78" t="s">
        <v>1081</v>
      </c>
    </row>
    <row r="507" spans="1:3" x14ac:dyDescent="0.3">
      <c r="A507" s="34" t="s">
        <v>168</v>
      </c>
      <c r="B507" s="115" t="s">
        <v>739</v>
      </c>
      <c r="C507" s="115" t="s">
        <v>1082</v>
      </c>
    </row>
    <row r="508" spans="1:3" ht="72" x14ac:dyDescent="0.3">
      <c r="A508" s="34" t="s">
        <v>168</v>
      </c>
      <c r="B508" s="124" t="s">
        <v>685</v>
      </c>
      <c r="C508" s="124" t="s">
        <v>1084</v>
      </c>
    </row>
    <row r="509" spans="1:3" ht="273.60000000000002" x14ac:dyDescent="0.3">
      <c r="A509" s="34" t="s">
        <v>168</v>
      </c>
      <c r="B509" s="112" t="s">
        <v>686</v>
      </c>
      <c r="C509" s="112" t="s">
        <v>1083</v>
      </c>
    </row>
    <row r="510" spans="1:3" ht="18" x14ac:dyDescent="0.3">
      <c r="A510" s="34" t="s">
        <v>168</v>
      </c>
      <c r="B510" s="39" t="s">
        <v>1339</v>
      </c>
      <c r="C510" s="39" t="s">
        <v>1340</v>
      </c>
    </row>
    <row r="511" spans="1:3" ht="201.6" x14ac:dyDescent="0.3">
      <c r="A511" s="34" t="s">
        <v>168</v>
      </c>
      <c r="B511" s="112" t="s">
        <v>698</v>
      </c>
      <c r="C511" s="112" t="s">
        <v>1085</v>
      </c>
    </row>
    <row r="512" spans="1:3" ht="18" x14ac:dyDescent="0.3">
      <c r="A512" s="34" t="s">
        <v>168</v>
      </c>
      <c r="B512" s="39" t="s">
        <v>1341</v>
      </c>
      <c r="C512" s="39" t="s">
        <v>1342</v>
      </c>
    </row>
    <row r="513" spans="1:3" x14ac:dyDescent="0.3">
      <c r="A513" s="34" t="s">
        <v>168</v>
      </c>
      <c r="B513" s="47" t="s">
        <v>10</v>
      </c>
      <c r="C513" s="47" t="s">
        <v>155</v>
      </c>
    </row>
    <row r="514" spans="1:3" x14ac:dyDescent="0.3">
      <c r="A514" s="34" t="s">
        <v>168</v>
      </c>
      <c r="B514" s="47" t="s">
        <v>740</v>
      </c>
      <c r="C514" s="47" t="s">
        <v>1086</v>
      </c>
    </row>
    <row r="515" spans="1:3" ht="28.8" x14ac:dyDescent="0.3">
      <c r="A515" s="34" t="s">
        <v>168</v>
      </c>
      <c r="B515" s="115" t="s">
        <v>741</v>
      </c>
      <c r="C515" s="115" t="s">
        <v>1087</v>
      </c>
    </row>
    <row r="516" spans="1:3" ht="86.4" x14ac:dyDescent="0.3">
      <c r="A516" s="34" t="s">
        <v>168</v>
      </c>
      <c r="B516" s="112" t="s">
        <v>673</v>
      </c>
      <c r="C516" s="112" t="s">
        <v>1088</v>
      </c>
    </row>
    <row r="517" spans="1:3" ht="18" x14ac:dyDescent="0.3">
      <c r="A517" s="34" t="s">
        <v>168</v>
      </c>
      <c r="B517" s="39" t="s">
        <v>1343</v>
      </c>
      <c r="C517" s="39" t="s">
        <v>1344</v>
      </c>
    </row>
    <row r="518" spans="1:3" ht="43.2" x14ac:dyDescent="0.3">
      <c r="A518" s="34" t="s">
        <v>168</v>
      </c>
      <c r="B518" s="37" t="s">
        <v>674</v>
      </c>
      <c r="C518" s="37" t="s">
        <v>1089</v>
      </c>
    </row>
    <row r="519" spans="1:3" x14ac:dyDescent="0.3">
      <c r="A519" s="34" t="s">
        <v>168</v>
      </c>
      <c r="B519" s="45" t="s">
        <v>675</v>
      </c>
      <c r="C519" s="45" t="s">
        <v>1090</v>
      </c>
    </row>
    <row r="520" spans="1:3" ht="21" x14ac:dyDescent="0.3">
      <c r="A520" s="34" t="s">
        <v>168</v>
      </c>
      <c r="B520" s="81" t="s">
        <v>1345</v>
      </c>
      <c r="C520" s="81" t="s">
        <v>1346</v>
      </c>
    </row>
    <row r="521" spans="1:3" x14ac:dyDescent="0.3">
      <c r="A521" s="34" t="s">
        <v>901</v>
      </c>
      <c r="B521" s="45" t="s">
        <v>676</v>
      </c>
      <c r="C521" s="45" t="s">
        <v>1091</v>
      </c>
    </row>
    <row r="522" spans="1:3" x14ac:dyDescent="0.3">
      <c r="A522" s="34" t="s">
        <v>822</v>
      </c>
      <c r="B522" s="45" t="s">
        <v>677</v>
      </c>
      <c r="C522" s="45" t="s">
        <v>1092</v>
      </c>
    </row>
    <row r="523" spans="1:3" x14ac:dyDescent="0.3">
      <c r="A523" s="34" t="s">
        <v>902</v>
      </c>
      <c r="B523" s="45" t="s">
        <v>678</v>
      </c>
      <c r="C523" s="45" t="s">
        <v>678</v>
      </c>
    </row>
    <row r="524" spans="1:3" x14ac:dyDescent="0.3">
      <c r="A524" s="34" t="s">
        <v>902</v>
      </c>
      <c r="B524" s="37" t="s">
        <v>1413</v>
      </c>
      <c r="C524" s="37" t="s">
        <v>1414</v>
      </c>
    </row>
    <row r="525" spans="1:3" x14ac:dyDescent="0.3">
      <c r="A525" s="34" t="s">
        <v>862</v>
      </c>
      <c r="B525" s="45" t="s">
        <v>1399</v>
      </c>
      <c r="C525" s="45" t="s">
        <v>1399</v>
      </c>
    </row>
    <row r="526" spans="1:3" x14ac:dyDescent="0.3">
      <c r="A526" s="34" t="s">
        <v>1492</v>
      </c>
      <c r="B526" s="45" t="s">
        <v>1493</v>
      </c>
      <c r="C526" s="45" t="s">
        <v>1493</v>
      </c>
    </row>
    <row r="527" spans="1:3" x14ac:dyDescent="0.3">
      <c r="A527" s="34" t="s">
        <v>832</v>
      </c>
      <c r="B527" s="45" t="s">
        <v>1570</v>
      </c>
      <c r="C527" s="45"/>
    </row>
    <row r="528" spans="1:3" x14ac:dyDescent="0.3">
      <c r="A528" s="34" t="s">
        <v>1546</v>
      </c>
      <c r="B528" s="45" t="s">
        <v>1570</v>
      </c>
      <c r="C528" s="45"/>
    </row>
    <row r="529" spans="1:3" x14ac:dyDescent="0.3">
      <c r="A529" s="34" t="s">
        <v>1546</v>
      </c>
      <c r="B529" s="37" t="s">
        <v>1574</v>
      </c>
      <c r="C529" s="45"/>
    </row>
    <row r="530" spans="1:3" x14ac:dyDescent="0.3">
      <c r="A530" s="34" t="s">
        <v>168</v>
      </c>
      <c r="B530" s="47" t="s">
        <v>373</v>
      </c>
      <c r="C530" s="47" t="s">
        <v>465</v>
      </c>
    </row>
    <row r="531" spans="1:3" x14ac:dyDescent="0.3">
      <c r="A531" s="34" t="s">
        <v>168</v>
      </c>
      <c r="B531" s="115" t="s">
        <v>679</v>
      </c>
      <c r="C531" s="115" t="s">
        <v>1093</v>
      </c>
    </row>
    <row r="532" spans="1:3" x14ac:dyDescent="0.3">
      <c r="A532" s="34" t="s">
        <v>168</v>
      </c>
      <c r="B532" s="45" t="s">
        <v>680</v>
      </c>
      <c r="C532" s="45" t="s">
        <v>1094</v>
      </c>
    </row>
    <row r="533" spans="1:3" x14ac:dyDescent="0.3">
      <c r="A533" s="34" t="s">
        <v>168</v>
      </c>
      <c r="B533" s="45" t="s">
        <v>681</v>
      </c>
      <c r="C533" s="45"/>
    </row>
    <row r="534" spans="1:3" ht="28.8" x14ac:dyDescent="0.3">
      <c r="A534" s="34" t="s">
        <v>168</v>
      </c>
      <c r="B534" s="112" t="s">
        <v>903</v>
      </c>
      <c r="C534" s="112" t="s">
        <v>1096</v>
      </c>
    </row>
    <row r="535" spans="1:3" ht="28.8" x14ac:dyDescent="0.3">
      <c r="A535" s="34" t="s">
        <v>1588</v>
      </c>
      <c r="B535" s="112" t="s">
        <v>1099</v>
      </c>
      <c r="C535" s="112" t="s">
        <v>1095</v>
      </c>
    </row>
    <row r="536" spans="1:3" ht="129.6" x14ac:dyDescent="0.3">
      <c r="A536" s="34" t="s">
        <v>168</v>
      </c>
      <c r="B536" s="32" t="s">
        <v>1098</v>
      </c>
      <c r="C536" s="32" t="s">
        <v>1097</v>
      </c>
    </row>
    <row r="537" spans="1:3" x14ac:dyDescent="0.3">
      <c r="A537" s="34" t="s">
        <v>168</v>
      </c>
      <c r="B537" s="45" t="s">
        <v>682</v>
      </c>
      <c r="C537" s="45" t="s">
        <v>1202</v>
      </c>
    </row>
    <row r="538" spans="1:3" ht="43.2" x14ac:dyDescent="0.3">
      <c r="A538" s="34" t="s">
        <v>168</v>
      </c>
      <c r="B538" s="32" t="s">
        <v>683</v>
      </c>
      <c r="C538" s="32" t="s">
        <v>1100</v>
      </c>
    </row>
    <row r="539" spans="1:3" ht="18" x14ac:dyDescent="0.3">
      <c r="A539" s="34" t="s">
        <v>168</v>
      </c>
      <c r="B539" s="39" t="s">
        <v>1347</v>
      </c>
      <c r="C539" s="39" t="s">
        <v>1348</v>
      </c>
    </row>
    <row r="540" spans="1:3" ht="72" x14ac:dyDescent="0.3">
      <c r="A540" s="34" t="s">
        <v>168</v>
      </c>
      <c r="B540" s="112" t="s">
        <v>684</v>
      </c>
      <c r="C540" s="112" t="s">
        <v>1101</v>
      </c>
    </row>
    <row r="541" spans="1:3" ht="18" x14ac:dyDescent="0.3">
      <c r="A541" s="34" t="s">
        <v>168</v>
      </c>
      <c r="B541" s="39" t="s">
        <v>1349</v>
      </c>
      <c r="C541" s="39" t="s">
        <v>1350</v>
      </c>
    </row>
    <row r="542" spans="1:3" x14ac:dyDescent="0.3">
      <c r="A542" s="34" t="s">
        <v>168</v>
      </c>
      <c r="B542" s="5" t="s">
        <v>699</v>
      </c>
      <c r="C542" s="5" t="s">
        <v>1102</v>
      </c>
    </row>
    <row r="543" spans="1:3" x14ac:dyDescent="0.3">
      <c r="A543" s="34" t="s">
        <v>168</v>
      </c>
      <c r="B543" s="5" t="s">
        <v>700</v>
      </c>
      <c r="C543" s="5" t="s">
        <v>1103</v>
      </c>
    </row>
    <row r="544" spans="1:3" x14ac:dyDescent="0.3">
      <c r="A544" s="34" t="s">
        <v>168</v>
      </c>
      <c r="B544" s="47" t="s">
        <v>373</v>
      </c>
      <c r="C544" s="47" t="s">
        <v>465</v>
      </c>
    </row>
    <row r="545" spans="1:3" ht="28.8" x14ac:dyDescent="0.3">
      <c r="A545" s="34" t="s">
        <v>168</v>
      </c>
      <c r="B545" s="115" t="s">
        <v>701</v>
      </c>
      <c r="C545" s="115" t="s">
        <v>1104</v>
      </c>
    </row>
    <row r="546" spans="1:3" ht="28.8" x14ac:dyDescent="0.3">
      <c r="A546" s="34" t="s">
        <v>168</v>
      </c>
      <c r="B546" s="112" t="s">
        <v>702</v>
      </c>
      <c r="C546" s="112" t="s">
        <v>1105</v>
      </c>
    </row>
    <row r="547" spans="1:3" x14ac:dyDescent="0.3">
      <c r="A547" s="34" t="s">
        <v>168</v>
      </c>
      <c r="B547" s="45" t="s">
        <v>704</v>
      </c>
      <c r="C547" s="45" t="s">
        <v>1107</v>
      </c>
    </row>
    <row r="548" spans="1:3" x14ac:dyDescent="0.3">
      <c r="A548" s="34" t="s">
        <v>168</v>
      </c>
      <c r="B548" s="42" t="s">
        <v>1462</v>
      </c>
      <c r="C548" s="42" t="s">
        <v>1463</v>
      </c>
    </row>
    <row r="549" spans="1:3" x14ac:dyDescent="0.3">
      <c r="A549" s="34" t="s">
        <v>168</v>
      </c>
      <c r="B549" s="5" t="s">
        <v>705</v>
      </c>
      <c r="C549" s="5" t="s">
        <v>1106</v>
      </c>
    </row>
    <row r="550" spans="1:3" x14ac:dyDescent="0.3">
      <c r="A550" s="34" t="s">
        <v>168</v>
      </c>
      <c r="B550" s="45" t="s">
        <v>703</v>
      </c>
      <c r="C550" s="45" t="s">
        <v>1108</v>
      </c>
    </row>
    <row r="551" spans="1:3" x14ac:dyDescent="0.3">
      <c r="A551" s="34" t="s">
        <v>168</v>
      </c>
      <c r="B551" s="42" t="s">
        <v>1461</v>
      </c>
      <c r="C551" s="42" t="s">
        <v>1464</v>
      </c>
    </row>
    <row r="552" spans="1:3" ht="18" x14ac:dyDescent="0.3">
      <c r="A552" s="34" t="s">
        <v>168</v>
      </c>
      <c r="B552" s="39" t="s">
        <v>1351</v>
      </c>
      <c r="C552" s="39" t="s">
        <v>1352</v>
      </c>
    </row>
    <row r="553" spans="1:3" x14ac:dyDescent="0.3">
      <c r="A553" s="34" t="s">
        <v>168</v>
      </c>
      <c r="B553" s="122" t="s">
        <v>706</v>
      </c>
      <c r="C553" s="122" t="s">
        <v>1109</v>
      </c>
    </row>
    <row r="554" spans="1:3" ht="187.2" x14ac:dyDescent="0.3">
      <c r="A554" s="34" t="s">
        <v>168</v>
      </c>
      <c r="B554" s="32" t="s">
        <v>707</v>
      </c>
      <c r="C554" s="32" t="s">
        <v>1117</v>
      </c>
    </row>
    <row r="555" spans="1:3" x14ac:dyDescent="0.3">
      <c r="A555" s="34" t="s">
        <v>168</v>
      </c>
      <c r="B555" s="45" t="s">
        <v>708</v>
      </c>
      <c r="C555" s="45" t="s">
        <v>1121</v>
      </c>
    </row>
    <row r="556" spans="1:3" x14ac:dyDescent="0.3">
      <c r="A556" s="34" t="s">
        <v>168</v>
      </c>
      <c r="B556" s="122" t="s">
        <v>710</v>
      </c>
      <c r="C556" s="122" t="s">
        <v>1110</v>
      </c>
    </row>
    <row r="557" spans="1:3" ht="187.2" x14ac:dyDescent="0.3">
      <c r="A557" s="34" t="s">
        <v>168</v>
      </c>
      <c r="B557" s="112" t="s">
        <v>711</v>
      </c>
      <c r="C557" s="112" t="s">
        <v>1118</v>
      </c>
    </row>
    <row r="558" spans="1:3" x14ac:dyDescent="0.3">
      <c r="A558" s="34" t="s">
        <v>168</v>
      </c>
      <c r="B558" s="45" t="s">
        <v>709</v>
      </c>
      <c r="C558" s="45" t="s">
        <v>1122</v>
      </c>
    </row>
    <row r="559" spans="1:3" x14ac:dyDescent="0.3">
      <c r="A559" s="34" t="s">
        <v>168</v>
      </c>
      <c r="B559" s="122" t="s">
        <v>713</v>
      </c>
      <c r="C559" s="122" t="s">
        <v>1111</v>
      </c>
    </row>
    <row r="560" spans="1:3" ht="100.8" x14ac:dyDescent="0.3">
      <c r="A560" s="34" t="s">
        <v>168</v>
      </c>
      <c r="B560" s="32" t="s">
        <v>714</v>
      </c>
      <c r="C560" s="32" t="s">
        <v>1119</v>
      </c>
    </row>
    <row r="561" spans="1:3" x14ac:dyDescent="0.3">
      <c r="A561" s="34" t="s">
        <v>168</v>
      </c>
      <c r="B561" s="45" t="s">
        <v>712</v>
      </c>
      <c r="C561" s="45" t="s">
        <v>1123</v>
      </c>
    </row>
    <row r="562" spans="1:3" x14ac:dyDescent="0.3">
      <c r="A562" s="34" t="s">
        <v>168</v>
      </c>
      <c r="B562" s="5" t="s">
        <v>716</v>
      </c>
      <c r="C562" s="5" t="s">
        <v>1135</v>
      </c>
    </row>
    <row r="563" spans="1:3" x14ac:dyDescent="0.3">
      <c r="A563" s="34" t="s">
        <v>168</v>
      </c>
      <c r="B563" s="127" t="s">
        <v>717</v>
      </c>
      <c r="C563" s="127" t="s">
        <v>1116</v>
      </c>
    </row>
    <row r="564" spans="1:3" x14ac:dyDescent="0.3">
      <c r="A564" s="34" t="s">
        <v>168</v>
      </c>
      <c r="B564" s="45" t="s">
        <v>715</v>
      </c>
      <c r="C564" s="45" t="s">
        <v>1124</v>
      </c>
    </row>
    <row r="565" spans="1:3" x14ac:dyDescent="0.3">
      <c r="A565" s="34" t="s">
        <v>168</v>
      </c>
      <c r="B565" s="126" t="s">
        <v>719</v>
      </c>
      <c r="C565" s="126" t="s">
        <v>1115</v>
      </c>
    </row>
    <row r="566" spans="1:3" x14ac:dyDescent="0.3">
      <c r="A566" s="34" t="s">
        <v>168</v>
      </c>
      <c r="B566" s="45" t="s">
        <v>718</v>
      </c>
      <c r="C566" s="45" t="s">
        <v>1125</v>
      </c>
    </row>
    <row r="567" spans="1:3" x14ac:dyDescent="0.3">
      <c r="A567" s="34" t="s">
        <v>168</v>
      </c>
      <c r="B567" s="52" t="s">
        <v>722</v>
      </c>
      <c r="C567" s="52" t="s">
        <v>1112</v>
      </c>
    </row>
    <row r="568" spans="1:3" ht="72" x14ac:dyDescent="0.3">
      <c r="A568" s="34" t="s">
        <v>168</v>
      </c>
      <c r="B568" s="124" t="s">
        <v>723</v>
      </c>
      <c r="C568" s="124" t="s">
        <v>1114</v>
      </c>
    </row>
    <row r="569" spans="1:3" x14ac:dyDescent="0.3">
      <c r="A569" s="34" t="s">
        <v>168</v>
      </c>
      <c r="B569" s="45" t="s">
        <v>721</v>
      </c>
      <c r="C569" s="45" t="s">
        <v>1126</v>
      </c>
    </row>
    <row r="570" spans="1:3" x14ac:dyDescent="0.3">
      <c r="A570" s="34" t="s">
        <v>168</v>
      </c>
      <c r="B570" s="52" t="s">
        <v>724</v>
      </c>
      <c r="C570" s="52" t="s">
        <v>1113</v>
      </c>
    </row>
    <row r="571" spans="1:3" ht="230.4" x14ac:dyDescent="0.3">
      <c r="A571" s="34" t="s">
        <v>168</v>
      </c>
      <c r="B571" s="32" t="s">
        <v>725</v>
      </c>
      <c r="C571" s="32" t="s">
        <v>1120</v>
      </c>
    </row>
    <row r="572" spans="1:3" x14ac:dyDescent="0.3">
      <c r="A572" s="34" t="s">
        <v>168</v>
      </c>
      <c r="B572" s="45" t="s">
        <v>720</v>
      </c>
      <c r="C572" s="45" t="s">
        <v>1127</v>
      </c>
    </row>
    <row r="573" spans="1:3" x14ac:dyDescent="0.3">
      <c r="A573" s="34" t="s">
        <v>168</v>
      </c>
      <c r="B573" s="5" t="s">
        <v>726</v>
      </c>
      <c r="C573" s="5" t="s">
        <v>1136</v>
      </c>
    </row>
    <row r="574" spans="1:3" ht="115.2" x14ac:dyDescent="0.3">
      <c r="A574" s="34" t="s">
        <v>168</v>
      </c>
      <c r="B574" s="124" t="s">
        <v>1416</v>
      </c>
      <c r="C574" s="124" t="s">
        <v>1417</v>
      </c>
    </row>
    <row r="575" spans="1:3" x14ac:dyDescent="0.3">
      <c r="A575" s="34" t="s">
        <v>1415</v>
      </c>
      <c r="B575" s="124" t="s">
        <v>1419</v>
      </c>
      <c r="C575" s="124" t="s">
        <v>1418</v>
      </c>
    </row>
    <row r="576" spans="1:3" x14ac:dyDescent="0.3">
      <c r="A576" s="34" t="s">
        <v>168</v>
      </c>
      <c r="B576" s="45" t="s">
        <v>727</v>
      </c>
      <c r="C576" s="45" t="s">
        <v>1131</v>
      </c>
    </row>
    <row r="577" spans="1:3" x14ac:dyDescent="0.3">
      <c r="A577" s="34" t="s">
        <v>168</v>
      </c>
      <c r="B577" s="5" t="s">
        <v>730</v>
      </c>
      <c r="C577" s="5" t="s">
        <v>1137</v>
      </c>
    </row>
    <row r="578" spans="1:3" x14ac:dyDescent="0.3">
      <c r="A578" s="34" t="s">
        <v>168</v>
      </c>
      <c r="B578" s="126" t="s">
        <v>731</v>
      </c>
      <c r="C578" s="126" t="s">
        <v>1134</v>
      </c>
    </row>
    <row r="579" spans="1:3" x14ac:dyDescent="0.3">
      <c r="A579" s="34" t="s">
        <v>168</v>
      </c>
      <c r="B579" s="45" t="s">
        <v>729</v>
      </c>
      <c r="C579" s="45" t="s">
        <v>1128</v>
      </c>
    </row>
    <row r="580" spans="1:3" x14ac:dyDescent="0.3">
      <c r="A580" s="34" t="s">
        <v>168</v>
      </c>
      <c r="B580" s="5" t="s">
        <v>732</v>
      </c>
      <c r="C580" s="5" t="s">
        <v>1138</v>
      </c>
    </row>
    <row r="581" spans="1:3" x14ac:dyDescent="0.3">
      <c r="A581" s="34" t="s">
        <v>168</v>
      </c>
      <c r="B581" s="126" t="s">
        <v>733</v>
      </c>
      <c r="C581" s="126" t="s">
        <v>1133</v>
      </c>
    </row>
    <row r="582" spans="1:3" x14ac:dyDescent="0.3">
      <c r="A582" s="34" t="s">
        <v>168</v>
      </c>
      <c r="B582" s="45" t="s">
        <v>728</v>
      </c>
      <c r="C582" s="45" t="s">
        <v>1129</v>
      </c>
    </row>
    <row r="583" spans="1:3" x14ac:dyDescent="0.3">
      <c r="A583" s="34" t="s">
        <v>168</v>
      </c>
      <c r="B583" s="5" t="s">
        <v>734</v>
      </c>
      <c r="C583" s="5" t="s">
        <v>1139</v>
      </c>
    </row>
    <row r="584" spans="1:3" ht="43.2" x14ac:dyDescent="0.3">
      <c r="A584" s="34" t="s">
        <v>168</v>
      </c>
      <c r="B584" s="124" t="s">
        <v>735</v>
      </c>
      <c r="C584" s="124" t="s">
        <v>1132</v>
      </c>
    </row>
    <row r="585" spans="1:3" x14ac:dyDescent="0.3">
      <c r="A585" s="34" t="s">
        <v>168</v>
      </c>
      <c r="B585" s="45" t="s">
        <v>736</v>
      </c>
      <c r="C585" s="45" t="s">
        <v>1130</v>
      </c>
    </row>
    <row r="586" spans="1:3" ht="21" x14ac:dyDescent="0.3">
      <c r="A586" s="34" t="s">
        <v>168</v>
      </c>
      <c r="B586" s="81" t="s">
        <v>1353</v>
      </c>
      <c r="C586" s="81" t="s">
        <v>1354</v>
      </c>
    </row>
    <row r="587" spans="1:3" ht="43.2" x14ac:dyDescent="0.3">
      <c r="A587" s="34" t="s">
        <v>168</v>
      </c>
      <c r="B587" s="112" t="s">
        <v>742</v>
      </c>
      <c r="C587" s="112" t="s">
        <v>1140</v>
      </c>
    </row>
    <row r="588" spans="1:3" ht="18" x14ac:dyDescent="0.3">
      <c r="A588" s="34" t="s">
        <v>168</v>
      </c>
      <c r="B588" s="39" t="s">
        <v>1356</v>
      </c>
      <c r="C588" s="39" t="s">
        <v>1357</v>
      </c>
    </row>
    <row r="589" spans="1:3" x14ac:dyDescent="0.3">
      <c r="A589" s="34" t="s">
        <v>168</v>
      </c>
      <c r="B589" s="47" t="s">
        <v>373</v>
      </c>
      <c r="C589" s="47" t="s">
        <v>465</v>
      </c>
    </row>
    <row r="590" spans="1:3" ht="28.8" x14ac:dyDescent="0.3">
      <c r="A590" s="34" t="s">
        <v>168</v>
      </c>
      <c r="B590" s="115" t="s">
        <v>743</v>
      </c>
      <c r="C590" s="115" t="s">
        <v>1141</v>
      </c>
    </row>
    <row r="591" spans="1:3" x14ac:dyDescent="0.3">
      <c r="A591" s="34" t="s">
        <v>168</v>
      </c>
      <c r="B591" s="45" t="s">
        <v>744</v>
      </c>
      <c r="C591" s="45" t="s">
        <v>1148</v>
      </c>
    </row>
    <row r="592" spans="1:3" ht="28.8" x14ac:dyDescent="0.3">
      <c r="A592" s="34" t="s">
        <v>168</v>
      </c>
      <c r="B592" s="112" t="s">
        <v>745</v>
      </c>
      <c r="C592" s="112" t="s">
        <v>1142</v>
      </c>
    </row>
    <row r="593" spans="1:3" x14ac:dyDescent="0.3">
      <c r="A593" s="34" t="s">
        <v>168</v>
      </c>
      <c r="B593" s="45" t="s">
        <v>805</v>
      </c>
      <c r="C593" s="45" t="s">
        <v>805</v>
      </c>
    </row>
    <row r="594" spans="1:3" x14ac:dyDescent="0.3">
      <c r="A594" s="34" t="s">
        <v>168</v>
      </c>
      <c r="B594" s="42" t="s">
        <v>1465</v>
      </c>
      <c r="C594" s="42" t="s">
        <v>1466</v>
      </c>
    </row>
    <row r="595" spans="1:3" ht="18" x14ac:dyDescent="0.3">
      <c r="A595" s="34" t="s">
        <v>168</v>
      </c>
      <c r="B595" s="39" t="s">
        <v>1355</v>
      </c>
      <c r="C595" s="39" t="s">
        <v>1360</v>
      </c>
    </row>
    <row r="596" spans="1:3" ht="100.8" x14ac:dyDescent="0.3">
      <c r="A596" s="34" t="s">
        <v>168</v>
      </c>
      <c r="B596" s="32" t="s">
        <v>746</v>
      </c>
      <c r="C596" s="32" t="s">
        <v>1146</v>
      </c>
    </row>
    <row r="597" spans="1:3" ht="18" x14ac:dyDescent="0.3">
      <c r="A597" s="34" t="s">
        <v>168</v>
      </c>
      <c r="B597" s="39" t="s">
        <v>1358</v>
      </c>
      <c r="C597" s="39" t="s">
        <v>1359</v>
      </c>
    </row>
    <row r="598" spans="1:3" ht="86.4" x14ac:dyDescent="0.3">
      <c r="A598" s="34" t="s">
        <v>168</v>
      </c>
      <c r="B598" s="32" t="s">
        <v>747</v>
      </c>
      <c r="C598" s="32" t="s">
        <v>1147</v>
      </c>
    </row>
    <row r="599" spans="1:3" ht="18" x14ac:dyDescent="0.3">
      <c r="A599" s="34" t="s">
        <v>168</v>
      </c>
      <c r="B599" s="39" t="s">
        <v>1361</v>
      </c>
      <c r="C599" s="39" t="s">
        <v>1362</v>
      </c>
    </row>
    <row r="600" spans="1:3" x14ac:dyDescent="0.3">
      <c r="A600" s="34" t="s">
        <v>168</v>
      </c>
      <c r="B600" s="47" t="s">
        <v>373</v>
      </c>
      <c r="C600" s="47" t="s">
        <v>465</v>
      </c>
    </row>
    <row r="601" spans="1:3" ht="28.8" x14ac:dyDescent="0.3">
      <c r="A601" s="34" t="s">
        <v>168</v>
      </c>
      <c r="B601" s="115" t="s">
        <v>748</v>
      </c>
      <c r="C601" s="115" t="s">
        <v>1143</v>
      </c>
    </row>
    <row r="602" spans="1:3" x14ac:dyDescent="0.3">
      <c r="A602" s="34" t="s">
        <v>168</v>
      </c>
      <c r="B602" s="45" t="s">
        <v>749</v>
      </c>
      <c r="C602" s="45" t="s">
        <v>1149</v>
      </c>
    </row>
    <row r="603" spans="1:3" ht="57.6" x14ac:dyDescent="0.3">
      <c r="A603" s="34" t="s">
        <v>168</v>
      </c>
      <c r="B603" s="112" t="s">
        <v>750</v>
      </c>
      <c r="C603" s="112" t="s">
        <v>1144</v>
      </c>
    </row>
    <row r="604" spans="1:3" ht="18" x14ac:dyDescent="0.3">
      <c r="A604" s="34" t="s">
        <v>168</v>
      </c>
      <c r="B604" s="39" t="s">
        <v>1363</v>
      </c>
      <c r="C604" s="39" t="s">
        <v>1363</v>
      </c>
    </row>
    <row r="605" spans="1:3" ht="72" x14ac:dyDescent="0.3">
      <c r="A605" s="34" t="s">
        <v>168</v>
      </c>
      <c r="B605" s="32" t="s">
        <v>751</v>
      </c>
      <c r="C605" s="32" t="s">
        <v>1145</v>
      </c>
    </row>
    <row r="606" spans="1:3" x14ac:dyDescent="0.3">
      <c r="A606" s="34" t="s">
        <v>168</v>
      </c>
      <c r="B606" s="56" t="s">
        <v>752</v>
      </c>
      <c r="C606" s="56" t="s">
        <v>1159</v>
      </c>
    </row>
    <row r="607" spans="1:3" x14ac:dyDescent="0.3">
      <c r="A607" s="34" t="s">
        <v>168</v>
      </c>
      <c r="B607" s="5" t="s">
        <v>754</v>
      </c>
      <c r="C607" s="5" t="s">
        <v>1150</v>
      </c>
    </row>
    <row r="608" spans="1:3" x14ac:dyDescent="0.3">
      <c r="A608" s="34" t="s">
        <v>168</v>
      </c>
      <c r="B608" s="45" t="s">
        <v>753</v>
      </c>
      <c r="C608" s="45" t="s">
        <v>753</v>
      </c>
    </row>
    <row r="609" spans="1:3" x14ac:dyDescent="0.3">
      <c r="A609" s="34" t="s">
        <v>168</v>
      </c>
      <c r="B609" s="42" t="s">
        <v>1470</v>
      </c>
      <c r="C609" s="42" t="s">
        <v>1469</v>
      </c>
    </row>
    <row r="610" spans="1:3" x14ac:dyDescent="0.3">
      <c r="A610" s="34" t="s">
        <v>168</v>
      </c>
      <c r="B610" s="45" t="s">
        <v>755</v>
      </c>
      <c r="C610" s="45" t="s">
        <v>1154</v>
      </c>
    </row>
    <row r="611" spans="1:3" x14ac:dyDescent="0.3">
      <c r="A611" s="34" t="s">
        <v>168</v>
      </c>
      <c r="B611" s="56" t="s">
        <v>802</v>
      </c>
      <c r="C611" s="56" t="s">
        <v>1160</v>
      </c>
    </row>
    <row r="612" spans="1:3" x14ac:dyDescent="0.3">
      <c r="A612" s="34" t="s">
        <v>168</v>
      </c>
      <c r="B612" s="5" t="s">
        <v>756</v>
      </c>
      <c r="C612" s="5" t="s">
        <v>1151</v>
      </c>
    </row>
    <row r="613" spans="1:3" x14ac:dyDescent="0.3">
      <c r="A613" s="34" t="s">
        <v>168</v>
      </c>
      <c r="B613" s="45" t="s">
        <v>757</v>
      </c>
      <c r="C613" s="45" t="s">
        <v>757</v>
      </c>
    </row>
    <row r="614" spans="1:3" x14ac:dyDescent="0.3">
      <c r="A614" s="34" t="s">
        <v>168</v>
      </c>
      <c r="B614" s="42" t="s">
        <v>1467</v>
      </c>
      <c r="C614" s="42" t="s">
        <v>1468</v>
      </c>
    </row>
    <row r="615" spans="1:3" x14ac:dyDescent="0.3">
      <c r="A615" s="34" t="s">
        <v>168</v>
      </c>
      <c r="B615" s="45" t="s">
        <v>758</v>
      </c>
      <c r="C615" s="45" t="s">
        <v>1155</v>
      </c>
    </row>
    <row r="616" spans="1:3" x14ac:dyDescent="0.3">
      <c r="A616" s="34" t="s">
        <v>168</v>
      </c>
      <c r="B616" s="56" t="s">
        <v>803</v>
      </c>
      <c r="C616" s="56" t="s">
        <v>1161</v>
      </c>
    </row>
    <row r="617" spans="1:3" x14ac:dyDescent="0.3">
      <c r="A617" s="34" t="s">
        <v>168</v>
      </c>
      <c r="B617" s="5" t="s">
        <v>762</v>
      </c>
      <c r="C617" s="5" t="s">
        <v>1152</v>
      </c>
    </row>
    <row r="618" spans="1:3" x14ac:dyDescent="0.3">
      <c r="A618" s="34" t="s">
        <v>168</v>
      </c>
      <c r="B618" s="45" t="s">
        <v>759</v>
      </c>
      <c r="C618" s="45" t="s">
        <v>759</v>
      </c>
    </row>
    <row r="619" spans="1:3" x14ac:dyDescent="0.3">
      <c r="A619" s="34" t="s">
        <v>168</v>
      </c>
      <c r="B619" s="42" t="s">
        <v>1471</v>
      </c>
      <c r="C619" s="42" t="s">
        <v>1472</v>
      </c>
    </row>
    <row r="620" spans="1:3" x14ac:dyDescent="0.3">
      <c r="A620" s="34" t="s">
        <v>168</v>
      </c>
      <c r="B620" s="45" t="s">
        <v>760</v>
      </c>
      <c r="C620" s="45" t="s">
        <v>1156</v>
      </c>
    </row>
    <row r="621" spans="1:3" x14ac:dyDescent="0.3">
      <c r="A621" s="34" t="s">
        <v>168</v>
      </c>
      <c r="B621" s="56" t="s">
        <v>804</v>
      </c>
      <c r="C621" s="56" t="s">
        <v>1162</v>
      </c>
    </row>
    <row r="622" spans="1:3" x14ac:dyDescent="0.3">
      <c r="A622" s="34" t="s">
        <v>168</v>
      </c>
      <c r="B622" s="5" t="s">
        <v>761</v>
      </c>
      <c r="C622" s="5" t="s">
        <v>1153</v>
      </c>
    </row>
    <row r="623" spans="1:3" x14ac:dyDescent="0.3">
      <c r="A623" s="34" t="s">
        <v>168</v>
      </c>
      <c r="B623" s="45" t="s">
        <v>763</v>
      </c>
      <c r="C623" s="45" t="s">
        <v>763</v>
      </c>
    </row>
    <row r="624" spans="1:3" x14ac:dyDescent="0.3">
      <c r="A624" s="34" t="s">
        <v>168</v>
      </c>
      <c r="B624" s="42" t="s">
        <v>1473</v>
      </c>
      <c r="C624" s="42" t="s">
        <v>1474</v>
      </c>
    </row>
    <row r="625" spans="1:3" x14ac:dyDescent="0.3">
      <c r="A625" s="34" t="s">
        <v>168</v>
      </c>
      <c r="B625" s="45" t="s">
        <v>764</v>
      </c>
      <c r="C625" s="45" t="s">
        <v>1156</v>
      </c>
    </row>
    <row r="626" spans="1:3" ht="28.8" x14ac:dyDescent="0.3">
      <c r="A626" s="34" t="s">
        <v>168</v>
      </c>
      <c r="B626" s="53" t="s">
        <v>1364</v>
      </c>
      <c r="C626" s="53" t="s">
        <v>1365</v>
      </c>
    </row>
    <row r="627" spans="1:3" ht="21" x14ac:dyDescent="0.3">
      <c r="A627" s="34" t="s">
        <v>168</v>
      </c>
      <c r="B627" s="81" t="s">
        <v>1366</v>
      </c>
      <c r="C627" s="81" t="s">
        <v>1367</v>
      </c>
    </row>
    <row r="628" spans="1:3" ht="43.2" x14ac:dyDescent="0.3">
      <c r="A628" s="34" t="s">
        <v>168</v>
      </c>
      <c r="B628" s="112" t="s">
        <v>765</v>
      </c>
      <c r="C628" s="112" t="s">
        <v>1157</v>
      </c>
    </row>
    <row r="629" spans="1:3" x14ac:dyDescent="0.3">
      <c r="A629" s="34" t="s">
        <v>168</v>
      </c>
      <c r="B629" s="45" t="s">
        <v>766</v>
      </c>
      <c r="C629" s="45" t="s">
        <v>1158</v>
      </c>
    </row>
    <row r="630" spans="1:3" ht="18" x14ac:dyDescent="0.3">
      <c r="A630" s="34" t="s">
        <v>168</v>
      </c>
      <c r="B630" s="39" t="s">
        <v>1368</v>
      </c>
      <c r="C630" s="39" t="s">
        <v>1369</v>
      </c>
    </row>
    <row r="631" spans="1:3" ht="72" x14ac:dyDescent="0.3">
      <c r="A631" s="34" t="s">
        <v>168</v>
      </c>
      <c r="B631" s="112" t="s">
        <v>767</v>
      </c>
      <c r="C631" s="112" t="s">
        <v>1163</v>
      </c>
    </row>
    <row r="632" spans="1:3" x14ac:dyDescent="0.3">
      <c r="A632" s="34" t="s">
        <v>168</v>
      </c>
      <c r="B632" s="47" t="s">
        <v>373</v>
      </c>
      <c r="C632" s="47" t="s">
        <v>465</v>
      </c>
    </row>
    <row r="633" spans="1:3" ht="28.8" x14ac:dyDescent="0.3">
      <c r="A633" s="34" t="s">
        <v>168</v>
      </c>
      <c r="B633" s="115" t="s">
        <v>768</v>
      </c>
      <c r="C633" s="115" t="s">
        <v>1164</v>
      </c>
    </row>
    <row r="634" spans="1:3" x14ac:dyDescent="0.3">
      <c r="A634" s="34" t="s">
        <v>168</v>
      </c>
      <c r="B634" s="45" t="s">
        <v>769</v>
      </c>
      <c r="C634" s="45" t="s">
        <v>1165</v>
      </c>
    </row>
    <row r="635" spans="1:3" ht="21" x14ac:dyDescent="0.3">
      <c r="A635" s="34" t="s">
        <v>168</v>
      </c>
      <c r="B635" s="81" t="s">
        <v>1370</v>
      </c>
      <c r="C635" s="81" t="s">
        <v>1371</v>
      </c>
    </row>
    <row r="636" spans="1:3" x14ac:dyDescent="0.3">
      <c r="A636" s="34" t="s">
        <v>168</v>
      </c>
      <c r="B636" s="45" t="s">
        <v>770</v>
      </c>
      <c r="C636" s="45" t="s">
        <v>1166</v>
      </c>
    </row>
    <row r="637" spans="1:3" ht="216" x14ac:dyDescent="0.3">
      <c r="A637" s="34" t="s">
        <v>168</v>
      </c>
      <c r="B637" s="32" t="s">
        <v>811</v>
      </c>
      <c r="C637" s="32" t="s">
        <v>1167</v>
      </c>
    </row>
    <row r="638" spans="1:3" ht="72" x14ac:dyDescent="0.3">
      <c r="A638" s="34" t="s">
        <v>168</v>
      </c>
      <c r="B638" s="32" t="s">
        <v>771</v>
      </c>
      <c r="C638" s="32" t="s">
        <v>1168</v>
      </c>
    </row>
    <row r="639" spans="1:3" x14ac:dyDescent="0.3">
      <c r="A639" s="34" t="s">
        <v>168</v>
      </c>
      <c r="B639" s="45" t="s">
        <v>772</v>
      </c>
      <c r="C639" s="45" t="s">
        <v>1170</v>
      </c>
    </row>
    <row r="640" spans="1:3" ht="21" x14ac:dyDescent="0.3">
      <c r="A640" s="34" t="s">
        <v>168</v>
      </c>
      <c r="B640" s="81" t="s">
        <v>1372</v>
      </c>
      <c r="C640" s="81" t="s">
        <v>1373</v>
      </c>
    </row>
    <row r="641" spans="1:3" x14ac:dyDescent="0.3">
      <c r="A641" s="34" t="s">
        <v>168</v>
      </c>
      <c r="B641" s="47" t="s">
        <v>373</v>
      </c>
      <c r="C641" s="47" t="s">
        <v>465</v>
      </c>
    </row>
    <row r="642" spans="1:3" ht="28.8" x14ac:dyDescent="0.3">
      <c r="A642" s="34" t="s">
        <v>168</v>
      </c>
      <c r="B642" s="115" t="s">
        <v>768</v>
      </c>
      <c r="C642" s="115" t="s">
        <v>1164</v>
      </c>
    </row>
    <row r="643" spans="1:3" ht="43.2" x14ac:dyDescent="0.3">
      <c r="A643" s="34" t="s">
        <v>168</v>
      </c>
      <c r="B643" s="115" t="s">
        <v>773</v>
      </c>
      <c r="C643" s="115" t="s">
        <v>1169</v>
      </c>
    </row>
    <row r="644" spans="1:3" ht="18" x14ac:dyDescent="0.3">
      <c r="A644" s="34" t="s">
        <v>168</v>
      </c>
      <c r="B644" s="39" t="s">
        <v>1374</v>
      </c>
      <c r="C644" s="39" t="s">
        <v>1375</v>
      </c>
    </row>
    <row r="645" spans="1:3" x14ac:dyDescent="0.3">
      <c r="A645" s="34" t="s">
        <v>168</v>
      </c>
      <c r="B645" s="45" t="s">
        <v>774</v>
      </c>
      <c r="C645" s="45" t="s">
        <v>1171</v>
      </c>
    </row>
    <row r="646" spans="1:3" ht="18" x14ac:dyDescent="0.3">
      <c r="A646" s="34" t="s">
        <v>168</v>
      </c>
      <c r="B646" s="39" t="s">
        <v>1376</v>
      </c>
      <c r="C646" s="39" t="s">
        <v>1377</v>
      </c>
    </row>
    <row r="647" spans="1:3" x14ac:dyDescent="0.3">
      <c r="A647" s="34" t="s">
        <v>168</v>
      </c>
      <c r="B647" s="45" t="s">
        <v>775</v>
      </c>
      <c r="C647" s="45" t="s">
        <v>1172</v>
      </c>
    </row>
    <row r="648" spans="1:3" ht="18" x14ac:dyDescent="0.3">
      <c r="A648" s="34" t="s">
        <v>168</v>
      </c>
      <c r="B648" s="39" t="s">
        <v>1378</v>
      </c>
      <c r="C648" s="39" t="s">
        <v>1379</v>
      </c>
    </row>
    <row r="649" spans="1:3" x14ac:dyDescent="0.3">
      <c r="A649" s="34" t="s">
        <v>168</v>
      </c>
      <c r="B649" s="45" t="s">
        <v>776</v>
      </c>
      <c r="C649" s="45" t="s">
        <v>1173</v>
      </c>
    </row>
    <row r="650" spans="1:3" ht="18" x14ac:dyDescent="0.3">
      <c r="A650" s="34" t="s">
        <v>168</v>
      </c>
      <c r="B650" s="39" t="s">
        <v>1380</v>
      </c>
      <c r="C650" s="39" t="s">
        <v>1381</v>
      </c>
    </row>
    <row r="651" spans="1:3" x14ac:dyDescent="0.3">
      <c r="A651" s="34" t="s">
        <v>168</v>
      </c>
      <c r="B651" s="45" t="s">
        <v>777</v>
      </c>
      <c r="C651" s="45" t="s">
        <v>1174</v>
      </c>
    </row>
    <row r="652" spans="1:3" ht="18" x14ac:dyDescent="0.3">
      <c r="A652" s="34" t="s">
        <v>168</v>
      </c>
      <c r="B652" s="39" t="s">
        <v>1382</v>
      </c>
      <c r="C652" s="39" t="s">
        <v>1383</v>
      </c>
    </row>
    <row r="653" spans="1:3" x14ac:dyDescent="0.3">
      <c r="A653" s="34" t="s">
        <v>168</v>
      </c>
      <c r="B653" s="45" t="s">
        <v>778</v>
      </c>
      <c r="C653" s="45" t="s">
        <v>1175</v>
      </c>
    </row>
    <row r="654" spans="1:3" ht="28.8" x14ac:dyDescent="0.3">
      <c r="A654" s="34" t="s">
        <v>168</v>
      </c>
      <c r="B654" s="53" t="s">
        <v>1384</v>
      </c>
      <c r="C654" s="53" t="s">
        <v>1385</v>
      </c>
    </row>
    <row r="655" spans="1:3" ht="43.2" x14ac:dyDescent="0.3">
      <c r="A655" s="34" t="s">
        <v>168</v>
      </c>
      <c r="B655" s="112" t="s">
        <v>779</v>
      </c>
      <c r="C655" s="112" t="s">
        <v>1176</v>
      </c>
    </row>
    <row r="656" spans="1:3" x14ac:dyDescent="0.3">
      <c r="A656" s="34" t="s">
        <v>168</v>
      </c>
      <c r="B656" s="47" t="s">
        <v>373</v>
      </c>
      <c r="C656" s="47" t="s">
        <v>465</v>
      </c>
    </row>
    <row r="657" spans="1:3" x14ac:dyDescent="0.3">
      <c r="A657" s="34" t="s">
        <v>168</v>
      </c>
      <c r="B657" s="115" t="s">
        <v>780</v>
      </c>
      <c r="C657" s="115" t="s">
        <v>1177</v>
      </c>
    </row>
    <row r="658" spans="1:3" ht="43.2" x14ac:dyDescent="0.3">
      <c r="A658" s="34" t="s">
        <v>168</v>
      </c>
      <c r="B658" s="112" t="s">
        <v>781</v>
      </c>
      <c r="C658" s="112" t="s">
        <v>1178</v>
      </c>
    </row>
    <row r="659" spans="1:3" ht="28.8" x14ac:dyDescent="0.3">
      <c r="A659" s="34" t="s">
        <v>168</v>
      </c>
      <c r="B659" s="53" t="s">
        <v>1386</v>
      </c>
      <c r="C659" s="53" t="s">
        <v>1387</v>
      </c>
    </row>
    <row r="660" spans="1:3" ht="86.4" x14ac:dyDescent="0.3">
      <c r="A660" s="34" t="s">
        <v>168</v>
      </c>
      <c r="B660" s="32" t="s">
        <v>782</v>
      </c>
      <c r="C660" s="32" t="s">
        <v>1179</v>
      </c>
    </row>
    <row r="661" spans="1:3" x14ac:dyDescent="0.3">
      <c r="A661" s="34" t="s">
        <v>168</v>
      </c>
      <c r="B661" s="45" t="s">
        <v>783</v>
      </c>
      <c r="C661" s="45" t="s">
        <v>783</v>
      </c>
    </row>
    <row r="662" spans="1:3" x14ac:dyDescent="0.3">
      <c r="A662" s="34" t="s">
        <v>168</v>
      </c>
      <c r="B662" s="42" t="s">
        <v>1475</v>
      </c>
      <c r="C662" s="42" t="s">
        <v>1476</v>
      </c>
    </row>
    <row r="663" spans="1:3" ht="158.4" x14ac:dyDescent="0.3">
      <c r="A663" s="34" t="s">
        <v>168</v>
      </c>
      <c r="B663" s="32" t="s">
        <v>1420</v>
      </c>
      <c r="C663" s="32" t="s">
        <v>1421</v>
      </c>
    </row>
    <row r="664" spans="1:3" ht="201.6" x14ac:dyDescent="0.3">
      <c r="A664" s="34" t="s">
        <v>168</v>
      </c>
      <c r="B664" s="124" t="s">
        <v>784</v>
      </c>
      <c r="C664" s="124" t="s">
        <v>1184</v>
      </c>
    </row>
    <row r="665" spans="1:3" ht="115.2" x14ac:dyDescent="0.3">
      <c r="A665" s="34" t="s">
        <v>168</v>
      </c>
      <c r="B665" s="124" t="s">
        <v>810</v>
      </c>
      <c r="C665" s="124" t="s">
        <v>1203</v>
      </c>
    </row>
    <row r="666" spans="1:3" ht="28.8" x14ac:dyDescent="0.3">
      <c r="A666" s="34" t="s">
        <v>168</v>
      </c>
      <c r="B666" s="124" t="s">
        <v>806</v>
      </c>
      <c r="C666" s="124" t="s">
        <v>1180</v>
      </c>
    </row>
    <row r="667" spans="1:3" x14ac:dyDescent="0.3">
      <c r="A667" s="34" t="s">
        <v>168</v>
      </c>
      <c r="B667" s="139" t="s">
        <v>807</v>
      </c>
      <c r="C667" s="139" t="s">
        <v>1181</v>
      </c>
    </row>
    <row r="668" spans="1:3" ht="28.8" x14ac:dyDescent="0.3">
      <c r="A668" s="34" t="s">
        <v>168</v>
      </c>
      <c r="B668" s="140" t="s">
        <v>809</v>
      </c>
      <c r="C668" s="140" t="s">
        <v>1182</v>
      </c>
    </row>
    <row r="669" spans="1:3" ht="28.8" x14ac:dyDescent="0.3">
      <c r="A669" s="34" t="s">
        <v>168</v>
      </c>
      <c r="B669" s="140" t="s">
        <v>808</v>
      </c>
      <c r="C669" s="140" t="s">
        <v>1183</v>
      </c>
    </row>
  </sheetData>
  <phoneticPr fontId="21"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B7A44-69FC-4A26-8C0D-054E54FC0B1D}">
  <sheetPr codeName="Foglio3"/>
  <dimension ref="A2:BL338"/>
  <sheetViews>
    <sheetView topLeftCell="U34" zoomScaleNormal="100" workbookViewId="0">
      <selection activeCell="P327" sqref="P327:P328"/>
    </sheetView>
  </sheetViews>
  <sheetFormatPr defaultRowHeight="14.4" x14ac:dyDescent="0.3"/>
  <cols>
    <col min="1" max="1" width="15.5546875" customWidth="1"/>
    <col min="2" max="2" width="16.109375" customWidth="1"/>
    <col min="3" max="3" width="14" customWidth="1"/>
    <col min="4" max="4" width="13" customWidth="1"/>
    <col min="5" max="5" width="12.6640625" customWidth="1"/>
    <col min="6" max="6" width="11.109375" customWidth="1"/>
    <col min="7" max="7" width="13.6640625" customWidth="1"/>
    <col min="8" max="8" width="10.109375" customWidth="1"/>
    <col min="9" max="9" width="10.33203125" bestFit="1" customWidth="1"/>
    <col min="10" max="10" width="10.33203125" customWidth="1"/>
    <col min="11" max="11" width="11" customWidth="1"/>
    <col min="12" max="12" width="12.6640625" customWidth="1"/>
    <col min="13" max="13" width="12.88671875" customWidth="1"/>
    <col min="14" max="14" width="13" customWidth="1"/>
    <col min="15" max="15" width="9.88671875" customWidth="1"/>
    <col min="16" max="16" width="13.109375" customWidth="1"/>
    <col min="17" max="17" width="13.44140625" customWidth="1"/>
    <col min="18" max="18" width="10.88671875" customWidth="1"/>
    <col min="19" max="19" width="17" customWidth="1"/>
    <col min="20" max="20" width="14.33203125" customWidth="1"/>
    <col min="21" max="21" width="12.109375" bestFit="1" customWidth="1"/>
    <col min="22" max="22" width="15" customWidth="1"/>
    <col min="23" max="23" width="11.88671875" bestFit="1" customWidth="1"/>
    <col min="25" max="25" width="17.109375" customWidth="1"/>
    <col min="26" max="26" width="11.109375" bestFit="1" customWidth="1"/>
    <col min="27" max="27" width="18.88671875" bestFit="1" customWidth="1"/>
    <col min="28" max="28" width="17.6640625" bestFit="1" customWidth="1"/>
  </cols>
  <sheetData>
    <row r="2" spans="1:35" ht="12.75" customHeight="1" thickBot="1" x14ac:dyDescent="0.35"/>
    <row r="3" spans="1:35" s="72" customFormat="1" x14ac:dyDescent="0.3">
      <c r="A3" s="71"/>
    </row>
    <row r="4" spans="1:35" ht="15.6" x14ac:dyDescent="0.3">
      <c r="A4" s="73"/>
      <c r="B4" s="230" t="str">
        <f>IF(ISNUMBER(MATCH('Interfaccia di selezione'!$I$5, 'Interfaccia di selezione'!$X$11:$X$32, 0)), $T$8,IF(ISNUMBER(MATCH('Interfaccia di selezione'!$I$5,'Interfaccia di selezione'!$Y$11:$Y$13, 0)),$T$9,IF(ISNUMBER(MATCH('Interfaccia di selezione'!$I$5,'Interfaccia di selezione'!$Z$11:$Z$13)),$T$8,FALSE)))</f>
        <v>R600a -Isobutano</v>
      </c>
      <c r="C4" s="231"/>
      <c r="D4" s="231"/>
      <c r="E4" s="231"/>
      <c r="F4" s="231"/>
      <c r="G4" s="231"/>
      <c r="H4" s="232"/>
    </row>
    <row r="5" spans="1:35" ht="48" customHeight="1" thickBot="1" x14ac:dyDescent="0.35">
      <c r="A5" s="73"/>
      <c r="B5" s="167" t="str">
        <f>IF('Interfaccia di selezione'!$K$5=0,$V$7,IF('Interfaccia di selezione'!$K$5=1,$V$5))</f>
        <v>CAS</v>
      </c>
      <c r="C5" s="167" t="str">
        <f>IF('Interfaccia di selezione'!$K$5=0,$W$7,IF('Interfaccia di selezione'!$K$5=1,$W$5))</f>
        <v>EC</v>
      </c>
      <c r="D5" s="167" t="str">
        <f>IF('Interfaccia di selezione'!$K$5=0,$X$7,IF('Interfaccia di selezione'!$K$5=1,$X$5))</f>
        <v>N. SOSTANZA</v>
      </c>
      <c r="E5" s="167" t="str">
        <f>IF('Interfaccia di selezione'!$K$5=0,$Y$7,IF('Interfaccia di selezione'!$K$5=1,$Y$5))</f>
        <v>CLASSE DI SICUREZZA</v>
      </c>
      <c r="F5" s="167" t="str">
        <f>IF('Interfaccia di selezione'!$K$5=0,$Z$7,IF('Interfaccia di selezione'!$K$5=1,$Z$5))</f>
        <v>GRUPPO PED DEL FLUIDO</v>
      </c>
      <c r="G5" s="167" t="str">
        <f>IF('Interfaccia di selezione'!$K$5=0,$AA$7,IF('Interfaccia di selezione'!$K$5=1,$AA$5))</f>
        <v>LIMITE PRATICO [kg/m3]</v>
      </c>
      <c r="H5" s="167" t="str">
        <f>IF('Interfaccia di selezione'!$K$5=0,$AB$7,IF('Interfaccia di selezione'!$K$5=1,$AB$5))</f>
        <v>ATEL/ODL [kg/m3]</v>
      </c>
      <c r="T5" s="168" t="s">
        <v>211</v>
      </c>
      <c r="U5" s="168" t="s">
        <v>210</v>
      </c>
      <c r="V5" s="168" t="s">
        <v>190</v>
      </c>
      <c r="W5" s="168" t="s">
        <v>191</v>
      </c>
      <c r="X5" s="168" t="s">
        <v>212</v>
      </c>
      <c r="Y5" s="168" t="s">
        <v>213</v>
      </c>
      <c r="Z5" s="168" t="s">
        <v>214</v>
      </c>
      <c r="AA5" s="168" t="s">
        <v>215</v>
      </c>
      <c r="AB5" s="169" t="s">
        <v>201</v>
      </c>
      <c r="AC5" s="169" t="s">
        <v>208</v>
      </c>
      <c r="AD5" s="169" t="s">
        <v>225</v>
      </c>
      <c r="AE5" s="169" t="s">
        <v>223</v>
      </c>
      <c r="AF5" s="169" t="s">
        <v>221</v>
      </c>
      <c r="AG5" s="169" t="s">
        <v>216</v>
      </c>
      <c r="AH5" s="169" t="s">
        <v>217</v>
      </c>
      <c r="AI5" s="169" t="s">
        <v>220</v>
      </c>
    </row>
    <row r="6" spans="1:35" ht="20.25" customHeight="1" x14ac:dyDescent="0.3">
      <c r="A6" s="73"/>
      <c r="B6" s="106" t="str">
        <f>IF(ISNUMBER(MATCH('Interfaccia di selezione'!$I$5, 'Interfaccia di selezione'!$X$11:$X$32, 0)), $V$8,IF(ISNUMBER(MATCH('Interfaccia di selezione'!$I$5,'Interfaccia di selezione'!$Y$11:$Y$13, 0)),$V$9,IF(ISNUMBER(MATCH('Interfaccia di selezione'!$I$5,'Interfaccia di selezione'!$Z$11:$Z$13)),$V$8,FALSE)))</f>
        <v>000075-28-5</v>
      </c>
      <c r="C6" s="106" t="str">
        <f>IF(ISNUMBER(MATCH('Interfaccia di selezione'!$I$5, 'Interfaccia di selezione'!$X$11:$X$32, 0)), $W$8,IF(ISNUMBER(MATCH('Interfaccia di selezione'!$I$5,'Interfaccia di selezione'!$Y$11:$Y$13, 0)),$W$9,IF(ISNUMBER(MATCH('Interfaccia di selezione'!$I$5,'Interfaccia di selezione'!$Z$11:$Z$13)),$W$8,FALSE)))</f>
        <v>200-857-2</v>
      </c>
      <c r="D6" s="106" t="str">
        <f>IF(ISNUMBER(MATCH('Interfaccia di selezione'!$I$5, 'Interfaccia di selezione'!$X$11:$X$32, 0)), $X$8,IF(ISNUMBER(MATCH('Interfaccia di selezione'!$I$5,'Interfaccia di selezione'!$Y$11:$Y$13, 0)),$X$9,IF(ISNUMBER(MATCH('Interfaccia di selezione'!$I$5,'Interfaccia di selezione'!$Z$11:$Z$13)),$X$8,FALSE)))</f>
        <v>601-004-00-0</v>
      </c>
      <c r="E6" s="50" t="str">
        <f>IF(ISNUMBER(MATCH('Interfaccia di selezione'!$I$5, 'Interfaccia di selezione'!$X$11:$X$32, 0)), $Y$8,IF(ISNUMBER(MATCH('Interfaccia di selezione'!$I$5,'Interfaccia di selezione'!$Y$11:$Y$13, 0)),$Y$9,IF(ISNUMBER(MATCH('Interfaccia di selezione'!$I$5,'Interfaccia di selezione'!$Z$11:$Z$13)),$Y$8,FALSE)))</f>
        <v>A3</v>
      </c>
      <c r="F6" s="50">
        <f>IF(ISNUMBER(MATCH('Interfaccia di selezione'!$I$5, 'Interfaccia di selezione'!$X$11:$X$32, 0)), $Z$8,IF(ISNUMBER(MATCH('Interfaccia di selezione'!$I$5,'Interfaccia di selezione'!$Y$11:$Y$13, 0)),$Z$9,IF(ISNUMBER(MATCH('Interfaccia di selezione'!$I$5,'Interfaccia di selezione'!$Z$11:$Z$13)),$Z$8,FALSE)))</f>
        <v>1</v>
      </c>
      <c r="G6" s="50">
        <f>IF(ISNUMBER(MATCH('Interfaccia di selezione'!$I$5, 'Interfaccia di selezione'!$X$11:$X$32, 0)), $AA$8,IF(ISNUMBER(MATCH('Interfaccia di selezione'!$I$5,'Interfaccia di selezione'!$Y$11:$Y$13, 0)),$AA$9,IF(ISNUMBER(MATCH('Interfaccia di selezione'!$I$5,'Interfaccia di selezione'!$Z$11:$Z$13)),$AA$8,FALSE)))</f>
        <v>8.0000000000000002E-3</v>
      </c>
      <c r="H6" s="50">
        <f>IF(ISNUMBER(MATCH('Interfaccia di selezione'!$I$5, 'Interfaccia di selezione'!$X$11:$X$32, 0)), $AB$8,IF(ISNUMBER(MATCH('Interfaccia di selezione'!$I$5,'Interfaccia di selezione'!$Y$11:$Y$13, 0)),$AB$9,IF(ISNUMBER(MATCH('Interfaccia di selezione'!$I$5,'Interfaccia di selezione'!$Z$11:$Z$13)),$AB$8,FALSE)))</f>
        <v>0.09</v>
      </c>
    </row>
    <row r="7" spans="1:35" ht="30" customHeight="1" thickBot="1" x14ac:dyDescent="0.35">
      <c r="A7" s="73"/>
      <c r="B7" s="167" t="str">
        <f>IF('Interfaccia di selezione'!$K$5=0,$AC$7,IF('Interfaccia di selezione'!$K$5=1,$AC$5))</f>
        <v>LFL [kg/m3]</v>
      </c>
      <c r="C7" s="167" t="str">
        <f>IF('Interfaccia di selezione'!$K$5=0,$AD$7,IF('Interfaccia di selezione'!$K$5=1,$AD$5))</f>
        <v>DENSITA' (Normale) [kg/m^3]</v>
      </c>
      <c r="D7" s="167" t="str">
        <f>IF('Interfaccia di selezione'!$K$5=0,$AE$7,IF('Interfaccia di selezione'!$K$5=1,$AE$5))</f>
        <v>Temp. Evaporazione p_atm [°C]</v>
      </c>
      <c r="E7" s="167" t="str">
        <f>IF('Interfaccia di selezione'!$K$5=0,$AF$7,IF('Interfaccia di selezione'!$K$5=1,$AF$5))</f>
        <v>MASSA MOLECOLARE</v>
      </c>
      <c r="F7" s="167" t="str">
        <f>IF('Interfaccia di selezione'!$K$5=0,$AG$7,IF('Interfaccia di selezione'!$K$5=1,$AG$5))</f>
        <v>ODP</v>
      </c>
      <c r="G7" s="167" t="str">
        <f>IF('Interfaccia di selezione'!$K$5=0,$AH$7,IF('Interfaccia di selezione'!$K$5=1,$AH$5))</f>
        <v>GWP</v>
      </c>
      <c r="H7" s="167" t="str">
        <f>IF('Interfaccia di selezione'!$K$5=0,$AI$7,IF('Interfaccia di selezione'!$K$5=1,$AI$5))</f>
        <v>Temperatura di autoaccensione [°C]</v>
      </c>
      <c r="T7" s="168" t="s">
        <v>202</v>
      </c>
      <c r="U7" s="168" t="s">
        <v>203</v>
      </c>
      <c r="V7" s="168" t="s">
        <v>190</v>
      </c>
      <c r="W7" s="168" t="s">
        <v>191</v>
      </c>
      <c r="X7" s="168" t="s">
        <v>204</v>
      </c>
      <c r="Y7" s="168" t="s">
        <v>205</v>
      </c>
      <c r="Z7" s="168" t="s">
        <v>206</v>
      </c>
      <c r="AA7" s="168" t="s">
        <v>207</v>
      </c>
      <c r="AB7" s="169" t="s">
        <v>201</v>
      </c>
      <c r="AC7" s="169" t="s">
        <v>208</v>
      </c>
      <c r="AD7" s="169" t="s">
        <v>224</v>
      </c>
      <c r="AE7" s="169" t="s">
        <v>222</v>
      </c>
      <c r="AF7" s="169" t="s">
        <v>219</v>
      </c>
      <c r="AG7" s="169" t="s">
        <v>216</v>
      </c>
      <c r="AH7" s="169" t="s">
        <v>217</v>
      </c>
      <c r="AI7" s="169" t="s">
        <v>218</v>
      </c>
    </row>
    <row r="8" spans="1:35" ht="28.8" x14ac:dyDescent="0.3">
      <c r="A8" s="73"/>
      <c r="B8" s="50">
        <f>IF(ISNUMBER(MATCH('Interfaccia di selezione'!$I$5, 'Interfaccia di selezione'!$X$11:$X$32, 0)), $AC$8,IF(ISNUMBER(MATCH('Interfaccia di selezione'!$I$5,'Interfaccia di selezione'!$Y$11:$Y$13, 0)),$AC$9,IF(ISNUMBER(MATCH('Interfaccia di selezione'!$I$5,'Interfaccia di selezione'!$Z$11:$Z$13)),$AC$8,FALSE)))</f>
        <v>3.7999999999999999E-2</v>
      </c>
      <c r="C8" s="50">
        <f>IF(ISNUMBER(MATCH('Interfaccia di selezione'!$I$5, 'Interfaccia di selezione'!$X$11:$X$32, 0)), $AD$8,IF(ISNUMBER(MATCH('Interfaccia di selezione'!$I$5,'Interfaccia di selezione'!$Y$11:$Y$13, 0)),$AD$9,IF(ISNUMBER(MATCH('Interfaccia di selezione'!$I$5,'Interfaccia di selezione'!$Z$11:$Z$13)),$AD$8,FALSE)))</f>
        <v>1.8</v>
      </c>
      <c r="D8" s="50">
        <f>IF(ISNUMBER(MATCH('Interfaccia di selezione'!$I$5, 'Interfaccia di selezione'!$X$11:$X$32, 0)), $AE$8,IF(ISNUMBER(MATCH('Interfaccia di selezione'!$I$5,'Interfaccia di selezione'!$Y$11:$Y$13, 0)),$AE$9,IF(ISNUMBER(MATCH('Interfaccia di selezione'!$I$5,'Interfaccia di selezione'!$Z$11:$Z$13)),$AE$8,FALSE)))</f>
        <v>-42</v>
      </c>
      <c r="E8" s="50">
        <f>IF(ISNUMBER(MATCH('Interfaccia di selezione'!$I$5, 'Interfaccia di selezione'!$X$11:$X$32, 0)), $AF$8,IF(ISNUMBER(MATCH('Interfaccia di selezione'!$I$5,'Interfaccia di selezione'!$Y$11:$Y$13, 0)),$AF$9,IF(ISNUMBER(MATCH('Interfaccia di selezione'!$I$5,'Interfaccia di selezione'!$Z$11:$Z$13)),$AF$8,FALSE)))</f>
        <v>44</v>
      </c>
      <c r="F8" s="50">
        <f>IF(ISNUMBER(MATCH('Interfaccia di selezione'!$I$5, 'Interfaccia di selezione'!$X$11:$X$32, 0)), $AG$8,IF(ISNUMBER(MATCH('Interfaccia di selezione'!$I$5,'Interfaccia di selezione'!$Y$11:$Y$13, 0)),$AG$9,IF(ISNUMBER(MATCH('Interfaccia di selezione'!$I$5,'Interfaccia di selezione'!$Z$11:$Z$13)),$AG$8,FALSE)))</f>
        <v>0</v>
      </c>
      <c r="G8" s="50">
        <f>IF(ISNUMBER(MATCH('Interfaccia di selezione'!$I$5, 'Interfaccia di selezione'!$X$11:$X$32, 0)), $AH$8,IF(ISNUMBER(MATCH('Interfaccia di selezione'!$I$5,'Interfaccia di selezione'!$Y$11:$Y$13, 0)),$AH$9,IF(ISNUMBER(MATCH('Interfaccia di selezione'!$I$5,'Interfaccia di selezione'!$Z$11:$Z$13)),$AH$8,FALSE)))</f>
        <v>3</v>
      </c>
      <c r="H8" s="50">
        <f>IF(ISNUMBER(MATCH('Interfaccia di selezione'!$I$5, 'Interfaccia di selezione'!$X$11:$X$32, 0)), $AI$8,IF(ISNUMBER(MATCH('Interfaccia di selezione'!$I$5,'Interfaccia di selezione'!$Y$11:$Y$13, 0)),$AI$9,IF(ISNUMBER(MATCH('Interfaccia di selezione'!$I$5,'Interfaccia di selezione'!$Z$11:$Z$13)),$AI$8,FALSE)))</f>
        <v>470</v>
      </c>
      <c r="T8" s="50" t="s">
        <v>528</v>
      </c>
      <c r="U8" s="50" t="s">
        <v>355</v>
      </c>
      <c r="V8" s="50" t="s">
        <v>193</v>
      </c>
      <c r="W8" s="50" t="s">
        <v>194</v>
      </c>
      <c r="X8" s="50" t="s">
        <v>195</v>
      </c>
      <c r="Y8" s="10" t="s">
        <v>209</v>
      </c>
      <c r="Z8" s="10">
        <v>1</v>
      </c>
      <c r="AA8" s="10">
        <v>8.0000000000000002E-3</v>
      </c>
      <c r="AB8" s="10">
        <v>0.09</v>
      </c>
      <c r="AC8" s="10">
        <v>3.7999999999999999E-2</v>
      </c>
      <c r="AD8" s="10">
        <v>1.8</v>
      </c>
      <c r="AE8" s="10">
        <v>-42</v>
      </c>
      <c r="AF8" s="10">
        <v>44</v>
      </c>
      <c r="AG8" s="10">
        <v>0</v>
      </c>
      <c r="AH8" s="10">
        <v>3</v>
      </c>
      <c r="AI8" s="10">
        <v>470</v>
      </c>
    </row>
    <row r="9" spans="1:35" ht="21.75" customHeight="1" x14ac:dyDescent="0.3">
      <c r="A9" s="73"/>
      <c r="B9" s="243"/>
      <c r="C9" s="243"/>
      <c r="D9" s="243"/>
      <c r="E9" s="243"/>
      <c r="F9" s="243"/>
      <c r="G9" s="243"/>
      <c r="H9" s="243"/>
      <c r="T9" s="50" t="s">
        <v>529</v>
      </c>
      <c r="U9" s="50" t="s">
        <v>197</v>
      </c>
      <c r="V9" s="50" t="s">
        <v>198</v>
      </c>
      <c r="W9" s="50" t="s">
        <v>199</v>
      </c>
      <c r="X9" s="50" t="s">
        <v>200</v>
      </c>
      <c r="Y9" s="10" t="s">
        <v>209</v>
      </c>
      <c r="Z9" s="10">
        <v>1</v>
      </c>
      <c r="AA9" s="10">
        <v>1.0999999999999999E-2</v>
      </c>
      <c r="AB9" s="10">
        <v>5.8999999999999997E-2</v>
      </c>
      <c r="AC9" s="10">
        <v>4.2999999999999997E-2</v>
      </c>
      <c r="AD9" s="10">
        <v>2.38</v>
      </c>
      <c r="AE9" s="10">
        <v>-12</v>
      </c>
      <c r="AF9" s="10">
        <v>58.1</v>
      </c>
      <c r="AG9" s="10">
        <v>0</v>
      </c>
      <c r="AH9" s="10">
        <v>3</v>
      </c>
      <c r="AI9" s="10">
        <v>460</v>
      </c>
    </row>
    <row r="10" spans="1:35" x14ac:dyDescent="0.3">
      <c r="A10" s="73"/>
      <c r="B10" s="233" t="str">
        <f>IF(ISNUMBER(MATCH('Interfaccia di selezione'!$I$5, 'Interfaccia di selezione'!$X$11:$X$32, 0)), "",IF(ISNUMBER(MATCH('Interfaccia di selezione'!$I$5,'Interfaccia di selezione'!$Y$11:$Y$13, 0)),"",IF(ISNUMBER(MATCH('Interfaccia di selezione'!$I$5,'Interfaccia di selezione'!$Z$11:$Z$13)),$T$9,FALSE)))</f>
        <v/>
      </c>
      <c r="C10" s="234"/>
      <c r="D10" s="234"/>
      <c r="E10" s="234"/>
      <c r="F10" s="234"/>
      <c r="G10" s="234"/>
      <c r="H10" s="235"/>
      <c r="T10" s="100"/>
      <c r="U10" s="100"/>
      <c r="V10" s="100"/>
      <c r="W10" s="100"/>
      <c r="X10" s="100"/>
      <c r="Y10" s="101"/>
      <c r="Z10" s="101"/>
      <c r="AA10" s="101"/>
      <c r="AB10" s="101"/>
      <c r="AC10" s="101"/>
      <c r="AD10" s="101"/>
      <c r="AE10" s="101"/>
      <c r="AF10" s="101"/>
      <c r="AG10" s="101"/>
      <c r="AH10" s="101"/>
      <c r="AI10" s="101"/>
    </row>
    <row r="11" spans="1:35" ht="24" x14ac:dyDescent="0.3">
      <c r="A11" s="73"/>
      <c r="B11" s="167" t="str">
        <f>IF('Interfaccia di selezione'!$K$5=0,$V$7,IF('Interfaccia di selezione'!$K$5=1,$V$5))</f>
        <v>CAS</v>
      </c>
      <c r="C11" s="167" t="str">
        <f>IF('Interfaccia di selezione'!$K$5=0,$W$7,IF('Interfaccia di selezione'!$K$5=1,$W$5))</f>
        <v>EC</v>
      </c>
      <c r="D11" s="167" t="str">
        <f>IF('Interfaccia di selezione'!$K$5=0,$X$7,IF('Interfaccia di selezione'!$K$5=1,$X$5))</f>
        <v>N. SOSTANZA</v>
      </c>
      <c r="E11" s="167" t="str">
        <f>IF('Interfaccia di selezione'!$K$5=0,$Y$7,IF('Interfaccia di selezione'!$K$5=1,$Y$5))</f>
        <v>CLASSE DI SICUREZZA</v>
      </c>
      <c r="F11" s="167" t="str">
        <f>IF('Interfaccia di selezione'!$K$5=0,$Z$7,IF('Interfaccia di selezione'!$K$5=1,$Z$5))</f>
        <v>GRUPPO PED DEL FLUIDO</v>
      </c>
      <c r="G11" s="167" t="str">
        <f>IF('Interfaccia di selezione'!$K$5=0,$AA$7,IF('Interfaccia di selezione'!$K$5=1,$AA$5))</f>
        <v>LIMITE PRATICO [kg/m3]</v>
      </c>
      <c r="H11" s="167" t="str">
        <f>IF('Interfaccia di selezione'!$K$5=0,$AB$7,IF('Interfaccia di selezione'!$K$5=1,$AB$5))</f>
        <v>ATEL/ODL [kg/m3]</v>
      </c>
      <c r="T11" s="100"/>
      <c r="U11" s="100"/>
      <c r="V11" s="100"/>
      <c r="W11" s="100"/>
      <c r="X11" s="100"/>
      <c r="Y11" s="101"/>
      <c r="Z11" s="101"/>
      <c r="AA11" s="101"/>
      <c r="AB11" s="101"/>
      <c r="AC11" s="101"/>
      <c r="AD11" s="101"/>
      <c r="AE11" s="101"/>
      <c r="AF11" s="101"/>
      <c r="AG11" s="101"/>
      <c r="AH11" s="101"/>
      <c r="AI11" s="101"/>
    </row>
    <row r="12" spans="1:35" x14ac:dyDescent="0.3">
      <c r="A12" s="73"/>
      <c r="B12" s="50" t="str">
        <f>IF(ISNUMBER(MATCH('Interfaccia di selezione'!$I$5, 'Interfaccia di selezione'!$X$11:$X$32, 0)), "",IF(ISNUMBER(MATCH('Interfaccia di selezione'!$I$5,'Interfaccia di selezione'!$Y$11:$Y$13, 0)),"",IF(ISNUMBER(MATCH('Interfaccia di selezione'!$I$5,'Interfaccia di selezione'!$Z$11:$Z$13)),$V$9,FALSE)))</f>
        <v/>
      </c>
      <c r="C12" s="50" t="str">
        <f>IF(ISNUMBER(MATCH('Interfaccia di selezione'!$I$5, 'Interfaccia di selezione'!$X$11:$X$32, 0)), "",IF(ISNUMBER(MATCH('Interfaccia di selezione'!$I$5,'Interfaccia di selezione'!$Y$11:$Y$13, 0)),"",IF(ISNUMBER(MATCH('Interfaccia di selezione'!$I$5,'Interfaccia di selezione'!$Z$11:$Z$13)),$W$9,FALSE)))</f>
        <v/>
      </c>
      <c r="D12" s="50" t="str">
        <f>IF(ISNUMBER(MATCH('Interfaccia di selezione'!$I$5, 'Interfaccia di selezione'!$X$11:$X$32, 0)), "",IF(ISNUMBER(MATCH('Interfaccia di selezione'!$I$5,'Interfaccia di selezione'!$Y$11:$Y$13, 0)),"",IF(ISNUMBER(MATCH('Interfaccia di selezione'!$I$5,'Interfaccia di selezione'!$Z$11:$Z$13)),$X$9,FALSE)))</f>
        <v/>
      </c>
      <c r="E12" s="50" t="str">
        <f>IF(ISNUMBER(MATCH('Interfaccia di selezione'!$I$5, 'Interfaccia di selezione'!$X$11:$X$32, 0)), "",IF(ISNUMBER(MATCH('Interfaccia di selezione'!$I$5,'Interfaccia di selezione'!$Y$11:$Y$13, 0)),"",IF(ISNUMBER(MATCH('Interfaccia di selezione'!$I$5,'Interfaccia di selezione'!$Z$11:$Z$13)),$Y$9,FALSE)))</f>
        <v/>
      </c>
      <c r="F12" s="50" t="str">
        <f>IF(ISNUMBER(MATCH('Interfaccia di selezione'!$I$5, 'Interfaccia di selezione'!$X$11:$X$32, 0)), "",IF(ISNUMBER(MATCH('Interfaccia di selezione'!$I$5,'Interfaccia di selezione'!$Y$11:$Y$13, 0)),"",IF(ISNUMBER(MATCH('Interfaccia di selezione'!$I$5,'Interfaccia di selezione'!$Z$11:$Z$13)),$Z$9,FALSE)))</f>
        <v/>
      </c>
      <c r="G12" s="50" t="str">
        <f>IF(ISNUMBER(MATCH('Interfaccia di selezione'!$I$5, 'Interfaccia di selezione'!$X$11:$X$32, 0)), "",IF(ISNUMBER(MATCH('Interfaccia di selezione'!$I$5,'Interfaccia di selezione'!$Y$11:$Y$13, 0)),"",IF(ISNUMBER(MATCH('Interfaccia di selezione'!$I$5,'Interfaccia di selezione'!$Z$11:$Z$13)),$AA$9,FALSE)))</f>
        <v/>
      </c>
      <c r="H12" s="50" t="str">
        <f>IF(ISNUMBER(MATCH('Interfaccia di selezione'!$I$5, 'Interfaccia di selezione'!$X$11:$X$32, 0)), "",IF(ISNUMBER(MATCH('Interfaccia di selezione'!$I$5,'Interfaccia di selezione'!$Y$11:$Y$13, 0)),"",IF(ISNUMBER(MATCH('Interfaccia di selezione'!$I$5,'Interfaccia di selezione'!$Z$11:$Z$13)),$AB$9,FALSE)))</f>
        <v/>
      </c>
      <c r="M12" s="107"/>
      <c r="T12" s="100"/>
      <c r="U12" s="100"/>
      <c r="V12" s="100"/>
      <c r="W12" s="100"/>
      <c r="X12" s="100"/>
      <c r="Y12" s="101"/>
      <c r="Z12" s="101"/>
      <c r="AA12" s="101"/>
      <c r="AB12" s="101"/>
      <c r="AC12" s="101"/>
      <c r="AD12" s="101"/>
      <c r="AE12" s="101"/>
      <c r="AF12" s="101"/>
      <c r="AG12" s="101"/>
      <c r="AH12" s="101"/>
      <c r="AI12" s="101"/>
    </row>
    <row r="13" spans="1:35" ht="48" x14ac:dyDescent="0.3">
      <c r="A13" s="73"/>
      <c r="B13" s="167" t="str">
        <f>IF('Interfaccia di selezione'!$K$5=0,$AC$7,IF('Interfaccia di selezione'!$K$5=1,$AC$5))</f>
        <v>LFL [kg/m3]</v>
      </c>
      <c r="C13" s="167" t="str">
        <f>IF('Interfaccia di selezione'!$K$5=0,$AD$7,IF('Interfaccia di selezione'!$K$5=1,$AD$5))</f>
        <v>DENSITA' (Normale) [kg/m^3]</v>
      </c>
      <c r="D13" s="167" t="str">
        <f>IF('Interfaccia di selezione'!$K$5=0,$AE$7,IF('Interfaccia di selezione'!$K$5=1,$AE$5))</f>
        <v>Temp. Evaporazione p_atm [°C]</v>
      </c>
      <c r="E13" s="167" t="str">
        <f>IF('Interfaccia di selezione'!$K$5=0,$AF$7,IF('Interfaccia di selezione'!$K$5=1,$AF$5))</f>
        <v>MASSA MOLECOLARE</v>
      </c>
      <c r="F13" s="167" t="str">
        <f>IF('Interfaccia di selezione'!$K$5=0,$AG$7,IF('Interfaccia di selezione'!$K$5=1,$AG$5))</f>
        <v>ODP</v>
      </c>
      <c r="G13" s="167" t="str">
        <f>IF('Interfaccia di selezione'!$K$5=0,$AH$7,IF('Interfaccia di selezione'!$K$5=1,$AH$5))</f>
        <v>GWP</v>
      </c>
      <c r="H13" s="167" t="str">
        <f>IF('Interfaccia di selezione'!$K$5=0,$AI$7,IF('Interfaccia di selezione'!$K$5=1,$AI$5))</f>
        <v>Temperatura di autoaccensione [°C]</v>
      </c>
      <c r="M13" s="100"/>
      <c r="T13" s="100"/>
      <c r="U13" s="100"/>
      <c r="V13" s="100"/>
      <c r="W13" s="100"/>
      <c r="X13" s="100"/>
      <c r="Y13" s="101"/>
      <c r="Z13" s="101"/>
      <c r="AA13" s="101"/>
      <c r="AB13" s="101"/>
      <c r="AC13" s="101"/>
      <c r="AD13" s="101"/>
      <c r="AE13" s="101"/>
      <c r="AF13" s="101"/>
      <c r="AG13" s="101"/>
      <c r="AH13" s="101"/>
      <c r="AI13" s="101"/>
    </row>
    <row r="14" spans="1:35" x14ac:dyDescent="0.3">
      <c r="A14" s="73"/>
      <c r="B14" s="50" t="str">
        <f>IF(ISNUMBER(MATCH('Interfaccia di selezione'!$I$5, 'Interfaccia di selezione'!$X$11:$X$32, 0)), "",IF(ISNUMBER(MATCH('Interfaccia di selezione'!$I$5,'Interfaccia di selezione'!$Y$11:$Y$13, 0)),"",IF(ISNUMBER(MATCH('Interfaccia di selezione'!$I$5,'Interfaccia di selezione'!$Z$11:$Z$13)),$AC$9,FALSE)))</f>
        <v/>
      </c>
      <c r="C14" s="50" t="str">
        <f>IF(ISNUMBER(MATCH('Interfaccia di selezione'!$I$5, 'Interfaccia di selezione'!$X$11:$X$32, 0)), "",IF(ISNUMBER(MATCH('Interfaccia di selezione'!$I$5,'Interfaccia di selezione'!$Y$11:$Y$13, 0)),"",IF(ISNUMBER(MATCH('Interfaccia di selezione'!$I$5,'Interfaccia di selezione'!$Z$11:$Z$13)),$AD$9,FALSE)))</f>
        <v/>
      </c>
      <c r="D14" s="50" t="str">
        <f>IF(ISNUMBER(MATCH('Interfaccia di selezione'!$I$5, 'Interfaccia di selezione'!$X$11:$X$32, 0)), "",IF(ISNUMBER(MATCH('Interfaccia di selezione'!$I$5,'Interfaccia di selezione'!$Y$11:$Y$13, 0)),"",IF(ISNUMBER(MATCH('Interfaccia di selezione'!$I$5,'Interfaccia di selezione'!$Z$11:$Z$13)),$AE$9,FALSE)))</f>
        <v/>
      </c>
      <c r="E14" s="50" t="str">
        <f>IF(ISNUMBER(MATCH('Interfaccia di selezione'!$I$5, 'Interfaccia di selezione'!$X$11:$X$32, 0)), "",IF(ISNUMBER(MATCH('Interfaccia di selezione'!$I$5,'Interfaccia di selezione'!$Y$11:$Y$13, 0)),"",IF(ISNUMBER(MATCH('Interfaccia di selezione'!$I$5,'Interfaccia di selezione'!$Z$11:$Z$13)),$AF$9,FALSE)))</f>
        <v/>
      </c>
      <c r="F14" s="50" t="str">
        <f>IF(ISNUMBER(MATCH('Interfaccia di selezione'!$I$5, 'Interfaccia di selezione'!$X$11:$X$32, 0)), "",IF(ISNUMBER(MATCH('Interfaccia di selezione'!$I$5,'Interfaccia di selezione'!$Y$11:$Y$13, 0)),"",IF(ISNUMBER(MATCH('Interfaccia di selezione'!$I$5,'Interfaccia di selezione'!$Z$11:$Z$13)),$AG$9,FALSE)))</f>
        <v/>
      </c>
      <c r="G14" s="50" t="str">
        <f>IF(ISNUMBER(MATCH('Interfaccia di selezione'!$I$5, 'Interfaccia di selezione'!$X$11:$X$32, 0)), "",IF(ISNUMBER(MATCH('Interfaccia di selezione'!$I$5,'Interfaccia di selezione'!$Y$11:$Y$13, 0)),"",IF(ISNUMBER(MATCH('Interfaccia di selezione'!$I$5,'Interfaccia di selezione'!$Z$11:$Z$13)),$AH$9,FALSE)))</f>
        <v/>
      </c>
      <c r="H14" s="50" t="str">
        <f>IF(ISNUMBER(MATCH('Interfaccia di selezione'!$I$5, 'Interfaccia di selezione'!$X$11:$X$32, 0)), "",IF(ISNUMBER(MATCH('Interfaccia di selezione'!$I$5,'Interfaccia di selezione'!$Y$11:$Y$13, 0)),"",IF(ISNUMBER(MATCH('Interfaccia di selezione'!$I$5,'Interfaccia di selezione'!$Z$11:$Z$13)),$AI$9,FALSE)))</f>
        <v/>
      </c>
      <c r="T14" s="100"/>
      <c r="U14" s="100"/>
      <c r="V14" s="100"/>
      <c r="W14" s="100"/>
      <c r="X14" s="100"/>
      <c r="Y14" s="101"/>
      <c r="Z14" s="101"/>
      <c r="AA14" s="101"/>
      <c r="AB14" s="101"/>
      <c r="AC14" s="101"/>
      <c r="AD14" s="101"/>
      <c r="AE14" s="101"/>
      <c r="AF14" s="101"/>
      <c r="AG14" s="101"/>
      <c r="AH14" s="101"/>
      <c r="AI14" s="101"/>
    </row>
    <row r="15" spans="1:35" x14ac:dyDescent="0.3">
      <c r="A15" s="73"/>
      <c r="T15" s="100"/>
      <c r="U15" s="100"/>
      <c r="V15" s="100"/>
      <c r="W15" s="100"/>
      <c r="X15" s="100"/>
      <c r="Y15" s="101"/>
      <c r="Z15" s="101"/>
      <c r="AA15" s="101"/>
      <c r="AB15" s="101"/>
      <c r="AC15" s="101"/>
      <c r="AD15" s="101"/>
      <c r="AE15" s="101"/>
      <c r="AF15" s="101"/>
      <c r="AG15" s="101"/>
      <c r="AH15" s="101"/>
      <c r="AI15" s="101"/>
    </row>
    <row r="16" spans="1:35" s="75" customFormat="1" ht="15" thickBot="1" x14ac:dyDescent="0.35">
      <c r="A16" s="74"/>
    </row>
    <row r="17" spans="1:64" s="72" customFormat="1" x14ac:dyDescent="0.3">
      <c r="A17" s="71"/>
    </row>
    <row r="18" spans="1:64" ht="39" customHeight="1" thickBot="1" x14ac:dyDescent="0.35">
      <c r="A18" s="73"/>
      <c r="U18" s="162" t="s">
        <v>361</v>
      </c>
      <c r="V18" s="162" t="s">
        <v>292</v>
      </c>
      <c r="W18" s="162" t="s">
        <v>97</v>
      </c>
      <c r="X18" s="162" t="s">
        <v>293</v>
      </c>
      <c r="Y18" s="162" t="s">
        <v>294</v>
      </c>
      <c r="Z18" s="162" t="s">
        <v>295</v>
      </c>
      <c r="AA18" s="162" t="s">
        <v>296</v>
      </c>
      <c r="AB18" s="162" t="s">
        <v>524</v>
      </c>
      <c r="AC18" s="162" t="s">
        <v>297</v>
      </c>
      <c r="AD18" s="162" t="s">
        <v>357</v>
      </c>
      <c r="AE18" s="162" t="s">
        <v>275</v>
      </c>
      <c r="AF18" s="162" t="s">
        <v>356</v>
      </c>
      <c r="AG18" s="162" t="s">
        <v>298</v>
      </c>
      <c r="AH18" s="162" t="s">
        <v>299</v>
      </c>
      <c r="AI18" s="162" t="s">
        <v>359</v>
      </c>
      <c r="AJ18" s="162" t="s">
        <v>358</v>
      </c>
      <c r="AK18" s="162" t="s">
        <v>527</v>
      </c>
    </row>
    <row r="19" spans="1:64" ht="15.6" x14ac:dyDescent="0.3">
      <c r="A19" s="73"/>
      <c r="B19" s="240" t="str">
        <f>IF('Interfaccia di selezione'!$J$5=0,VLOOKUP('Interfaccia di selezione'!$I$5,'Interfaccia di selezione'!$BB$9:$BD$36,2),IF('Interfaccia di selezione'!$J$5=1,VLOOKUP('Interfaccia di selezione'!$I$5,'Interfaccia di selezione'!$BB$9:$BD$36,3), FALSE))</f>
        <v>RT60 W</v>
      </c>
      <c r="C19" s="241"/>
      <c r="D19" s="241"/>
      <c r="E19" s="241"/>
      <c r="F19" s="241"/>
      <c r="G19" s="241"/>
      <c r="H19" s="241"/>
      <c r="I19" s="242"/>
      <c r="M19" s="107"/>
      <c r="P19" s="108"/>
    </row>
    <row r="20" spans="1:64" ht="45" customHeight="1" thickBot="1" x14ac:dyDescent="0.35">
      <c r="A20" s="73"/>
      <c r="B20" s="167" t="str">
        <f>IF('Interfaccia di selezione'!$K$5=0,V20,IF('Interfaccia di selezione'!$K$5=1,V18))</f>
        <v>Marca</v>
      </c>
      <c r="C20" s="167" t="str">
        <f>IF('Interfaccia di selezione'!$K$5=0,W20,IF('Interfaccia di selezione'!$K$5=1,W18))</f>
        <v>Modello</v>
      </c>
      <c r="D20" s="167" t="str">
        <f>IF('Interfaccia di selezione'!$K$5=0,X20,IF('Interfaccia di selezione'!$K$5=1,X18))</f>
        <v>Tipo</v>
      </c>
      <c r="E20" s="167" t="str">
        <f>IF('Interfaccia di selezione'!$K$5=0,Y20,IF('Interfaccia di selezione'!$K$5=1,Y18))</f>
        <v>Quantità</v>
      </c>
      <c r="F20" s="167" t="str">
        <f>IF('Interfaccia di selezione'!$K$5=0,Z20,IF('Interfaccia di selezione'!$K$5=1,Z18))</f>
        <v>Lunghezza [mm]</v>
      </c>
      <c r="G20" s="167" t="str">
        <f>IF('Interfaccia di selezione'!$K$5=0,AA20,IF('Interfaccia di selezione'!$K$5=1,AA18))</f>
        <v>Larghezza [mm]</v>
      </c>
      <c r="H20" s="167" t="str">
        <f>IF('Interfaccia di selezione'!$K$5=0,AB20,IF('Interfaccia di selezione'!$K$5=1,AB18))</f>
        <v>Altezza [mm]</v>
      </c>
      <c r="I20" s="167" t="str">
        <f>IF('Interfaccia di selezione'!$K$5=0,AC20,IF('Interfaccia di selezione'!$K$5=1,AC18))</f>
        <v>Peso [kg]</v>
      </c>
      <c r="U20" s="162" t="s">
        <v>261</v>
      </c>
      <c r="V20" s="162" t="s">
        <v>262</v>
      </c>
      <c r="W20" s="162" t="s">
        <v>2</v>
      </c>
      <c r="X20" s="162" t="s">
        <v>269</v>
      </c>
      <c r="Y20" s="162" t="s">
        <v>270</v>
      </c>
      <c r="Z20" s="162" t="s">
        <v>271</v>
      </c>
      <c r="AA20" s="162" t="s">
        <v>272</v>
      </c>
      <c r="AB20" s="162" t="s">
        <v>273</v>
      </c>
      <c r="AC20" s="162" t="s">
        <v>274</v>
      </c>
      <c r="AD20" s="162" t="s">
        <v>357</v>
      </c>
      <c r="AE20" s="162" t="s">
        <v>275</v>
      </c>
      <c r="AF20" s="162" t="s">
        <v>356</v>
      </c>
      <c r="AG20" s="162" t="s">
        <v>276</v>
      </c>
      <c r="AH20" s="162" t="s">
        <v>279</v>
      </c>
      <c r="AI20" s="162" t="s">
        <v>360</v>
      </c>
      <c r="AJ20" s="162" t="s">
        <v>358</v>
      </c>
      <c r="AK20" s="162" t="s">
        <v>352</v>
      </c>
      <c r="AV20" s="223"/>
      <c r="AW20" s="223"/>
      <c r="AZ20" s="223"/>
      <c r="BA20" s="223"/>
      <c r="BF20" s="223"/>
      <c r="BG20" s="223"/>
      <c r="BI20" s="223"/>
      <c r="BJ20" s="223"/>
      <c r="BK20" s="223"/>
      <c r="BL20" s="223"/>
    </row>
    <row r="21" spans="1:64" ht="15.6" x14ac:dyDescent="0.3">
      <c r="A21" s="73"/>
      <c r="B21" s="105" t="str">
        <f>VLOOKUP('Interfaccia di selezione'!$I$5,$T$21:$AK$48,3)</f>
        <v>Frascold</v>
      </c>
      <c r="C21" s="105" t="str">
        <f>VLOOKUP('Interfaccia di selezione'!$I$5,$T$21:$AK$48,4)</f>
        <v>Z40-140AXH</v>
      </c>
      <c r="D21" s="104" t="str">
        <f>VLOOKUP('Interfaccia di selezione'!$I$5,$T$21:$AK$48,5)</f>
        <v>Alternativo</v>
      </c>
      <c r="E21" s="102">
        <f>VLOOKUP('Interfaccia di selezione'!$I$5,$T$21:$AK$48,6)</f>
        <v>1</v>
      </c>
      <c r="F21" s="102">
        <f>VLOOKUP('Interfaccia di selezione'!$I$5,$T$21:$AK$48,7)</f>
        <v>794</v>
      </c>
      <c r="G21" s="102">
        <f>VLOOKUP('Interfaccia di selezione'!$I$5,$T$21:$AK$48,8)</f>
        <v>509</v>
      </c>
      <c r="H21" s="102">
        <f>VLOOKUP('Interfaccia di selezione'!$I$5,$T$21:$AK$48,9)</f>
        <v>536</v>
      </c>
      <c r="I21" s="102">
        <f>VLOOKUP('Interfaccia di selezione'!$I$5,$T$21:$AK$48,10)</f>
        <v>240</v>
      </c>
      <c r="T21" s="5">
        <v>1</v>
      </c>
      <c r="U21" s="1" t="s">
        <v>13</v>
      </c>
      <c r="V21" s="57" t="s">
        <v>263</v>
      </c>
      <c r="W21" s="57" t="s">
        <v>264</v>
      </c>
      <c r="X21" s="57" t="str">
        <f>IF('Interfaccia di selezione'!$K$5=0,"Alternativo",IF('Interfaccia di selezione'!$K$5=1,"Reprocicating"))</f>
        <v>Alternativo</v>
      </c>
      <c r="Y21" s="57">
        <v>1</v>
      </c>
      <c r="Z21" s="57">
        <v>449</v>
      </c>
      <c r="AA21" s="57">
        <v>286</v>
      </c>
      <c r="AB21" s="57">
        <v>325</v>
      </c>
      <c r="AC21" s="57">
        <v>79</v>
      </c>
      <c r="AD21" s="59">
        <v>13.3</v>
      </c>
      <c r="AE21" s="59">
        <v>63.1</v>
      </c>
      <c r="AF21" s="59" t="s">
        <v>291</v>
      </c>
      <c r="AG21" s="59" t="s">
        <v>277</v>
      </c>
      <c r="AH21" s="59">
        <v>1.3</v>
      </c>
      <c r="AI21" s="59">
        <v>20.5</v>
      </c>
      <c r="AJ21" s="59">
        <v>30</v>
      </c>
      <c r="AK21" s="60">
        <v>24.69</v>
      </c>
      <c r="AM21" s="57" t="s">
        <v>353</v>
      </c>
      <c r="BF21" s="223"/>
      <c r="BG21" s="223"/>
      <c r="BI21" s="223"/>
      <c r="BJ21" s="223"/>
      <c r="BK21" s="223"/>
      <c r="BL21" s="223"/>
    </row>
    <row r="22" spans="1:64" ht="31.5" customHeight="1" x14ac:dyDescent="0.3">
      <c r="A22" s="73"/>
      <c r="B22" s="167" t="str">
        <f>IF('Interfaccia di selezione'!$K$5=0,AD20,IF('Interfaccia di selezione'!$K$5=1,AD18))</f>
        <v>MRA (I_max_op) [A]</v>
      </c>
      <c r="C22" s="167" t="str">
        <f>IF('Interfaccia di selezione'!$K$5=0,AE20,IF('Interfaccia di selezione'!$K$5=1,AE18))</f>
        <v>Locked rotor current (LRA) [A]</v>
      </c>
      <c r="D22" s="167" t="str">
        <f>IF('Interfaccia di selezione'!$K$5=0,AF20,IF('Interfaccia di selezione'!$K$5=1,AF18))</f>
        <v>LRA, DOL [A]</v>
      </c>
      <c r="E22" s="167" t="str">
        <f>IF('Interfaccia di selezione'!$K$5=0,AG20,IF('Interfaccia di selezione'!$K$5=1,AG18))</f>
        <v>Olio</v>
      </c>
      <c r="F22" s="167" t="str">
        <f>IF('Interfaccia di selezione'!$K$5=0,AH20,IF('Interfaccia di selezione'!$K$5=1,AH18))</f>
        <v>Carica olio [kg]</v>
      </c>
      <c r="G22" s="167" t="str">
        <f>IF('Interfaccia di selezione'!$K$5=0,AI20,IF('Interfaccia di selezione'!$K$5=1,AI18))</f>
        <v>P_max_statica LP [bar]</v>
      </c>
      <c r="H22" s="167" t="str">
        <f>IF('Interfaccia di selezione'!$K$5=0,AJ20,IF('Interfaccia di selezione'!$K$5=1,AJ18))</f>
        <v>P_max_op HP [bar]</v>
      </c>
      <c r="I22" s="167" t="str">
        <f>IF('Interfaccia di selezione'!$K$5=0,AK20,IF('Interfaccia di selezione'!$K$5=1,AK18))</f>
        <v>Cilindrata [m3/h]</v>
      </c>
      <c r="T22" s="5">
        <v>2</v>
      </c>
      <c r="U22" s="1" t="s">
        <v>14</v>
      </c>
      <c r="V22" s="57" t="s">
        <v>263</v>
      </c>
      <c r="W22" s="57" t="s">
        <v>264</v>
      </c>
      <c r="X22" s="57" t="str">
        <f>IF('Interfaccia di selezione'!$K$5=0,"Alternativo",IF('Interfaccia di selezione'!$K$5=1,"Reprocicating"))</f>
        <v>Alternativo</v>
      </c>
      <c r="Y22" s="57">
        <v>1</v>
      </c>
      <c r="Z22" s="57">
        <v>449</v>
      </c>
      <c r="AA22" s="57">
        <v>286</v>
      </c>
      <c r="AB22" s="57">
        <v>325</v>
      </c>
      <c r="AC22" s="57">
        <v>79</v>
      </c>
      <c r="AD22" s="59">
        <v>13.3</v>
      </c>
      <c r="AE22" s="59">
        <v>63.1</v>
      </c>
      <c r="AF22" s="59" t="s">
        <v>291</v>
      </c>
      <c r="AG22" s="59" t="s">
        <v>277</v>
      </c>
      <c r="AH22" s="59">
        <v>1.3</v>
      </c>
      <c r="AI22" s="59">
        <v>20.5</v>
      </c>
      <c r="AJ22" s="59">
        <v>30</v>
      </c>
      <c r="AK22" s="60">
        <v>24.69</v>
      </c>
      <c r="AM22" s="57" t="s">
        <v>353</v>
      </c>
    </row>
    <row r="23" spans="1:64" ht="21.75" customHeight="1" x14ac:dyDescent="0.3">
      <c r="A23" s="73"/>
      <c r="B23" s="102">
        <f>VLOOKUP('Interfaccia di selezione'!$I$5,$T$21:$AK$48,11)</f>
        <v>64.2</v>
      </c>
      <c r="C23" s="102">
        <f>VLOOKUP('Interfaccia di selezione'!$I$5,$T$21:$AK$48,12)</f>
        <v>159.19999999999999</v>
      </c>
      <c r="D23" s="102">
        <f>VLOOKUP('Interfaccia di selezione'!$I$5,$T$21:$AK$48,13)</f>
        <v>273</v>
      </c>
      <c r="E23" s="102" t="str">
        <f>VLOOKUP('Interfaccia di selezione'!$I$5,$T$21:$AK$48,14)</f>
        <v>PAG68</v>
      </c>
      <c r="F23" s="102">
        <f>VLOOKUP('Interfaccia di selezione'!$I$5,$T$21:$AK$48,15)</f>
        <v>7.2</v>
      </c>
      <c r="G23" s="102">
        <f>VLOOKUP('Interfaccia di selezione'!$I$5,$T$21:$AK$48,16)</f>
        <v>20.5</v>
      </c>
      <c r="H23" s="102">
        <f>VLOOKUP('Interfaccia di selezione'!$I$5,$T$21:$AK$48,17)</f>
        <v>30</v>
      </c>
      <c r="I23" s="102">
        <f>VLOOKUP('Interfaccia di selezione'!$I$5,$T$21:$AK$48,18)</f>
        <v>139.68</v>
      </c>
      <c r="T23" s="5">
        <v>3</v>
      </c>
      <c r="U23" s="1" t="s">
        <v>15</v>
      </c>
      <c r="V23" s="57" t="s">
        <v>263</v>
      </c>
      <c r="W23" s="57" t="s">
        <v>264</v>
      </c>
      <c r="X23" s="57" t="str">
        <f>IF('Interfaccia di selezione'!$K$5=0,"Alternativo",IF('Interfaccia di selezione'!$K$5=1,"Reprocicating"))</f>
        <v>Alternativo</v>
      </c>
      <c r="Y23" s="57">
        <v>1</v>
      </c>
      <c r="Z23" s="57">
        <v>449</v>
      </c>
      <c r="AA23" s="57">
        <v>286</v>
      </c>
      <c r="AB23" s="57">
        <v>325</v>
      </c>
      <c r="AC23" s="57">
        <v>79</v>
      </c>
      <c r="AD23" s="59">
        <v>13.3</v>
      </c>
      <c r="AE23" s="59">
        <v>63.1</v>
      </c>
      <c r="AF23" s="59" t="s">
        <v>291</v>
      </c>
      <c r="AG23" s="59" t="s">
        <v>277</v>
      </c>
      <c r="AH23" s="59">
        <v>1.3</v>
      </c>
      <c r="AI23" s="59">
        <v>20.5</v>
      </c>
      <c r="AJ23" s="59">
        <v>30</v>
      </c>
      <c r="AK23" s="60">
        <v>24.69</v>
      </c>
      <c r="AM23" s="57" t="s">
        <v>353</v>
      </c>
    </row>
    <row r="24" spans="1:64" ht="15.6" x14ac:dyDescent="0.3">
      <c r="A24" s="73"/>
      <c r="T24" s="5">
        <v>4</v>
      </c>
      <c r="U24" s="1" t="s">
        <v>16</v>
      </c>
      <c r="V24" s="57" t="s">
        <v>263</v>
      </c>
      <c r="W24" s="57" t="s">
        <v>265</v>
      </c>
      <c r="X24" s="57" t="str">
        <f>IF('Interfaccia di selezione'!$K$5=0,"Alternativo",IF('Interfaccia di selezione'!$K$5=1,"Reprocicating"))</f>
        <v>Alternativo</v>
      </c>
      <c r="Y24" s="57">
        <v>1</v>
      </c>
      <c r="Z24" s="57">
        <v>672</v>
      </c>
      <c r="AA24" s="57">
        <v>460</v>
      </c>
      <c r="AB24" s="57">
        <v>463</v>
      </c>
      <c r="AC24" s="57">
        <v>170</v>
      </c>
      <c r="AD24" s="59">
        <v>31.5</v>
      </c>
      <c r="AE24" s="59">
        <v>74.8</v>
      </c>
      <c r="AF24" s="59">
        <v>117.1</v>
      </c>
      <c r="AG24" s="59" t="s">
        <v>277</v>
      </c>
      <c r="AH24" s="59">
        <v>4</v>
      </c>
      <c r="AI24" s="59">
        <v>20.5</v>
      </c>
      <c r="AJ24" s="59">
        <v>30</v>
      </c>
      <c r="AK24" s="60">
        <v>70.77</v>
      </c>
      <c r="AM24" s="57" t="s">
        <v>353</v>
      </c>
    </row>
    <row r="25" spans="1:64" ht="15.75" customHeight="1" x14ac:dyDescent="0.3">
      <c r="A25" s="73"/>
      <c r="T25" s="5">
        <v>5</v>
      </c>
      <c r="U25" s="1" t="s">
        <v>17</v>
      </c>
      <c r="V25" s="57" t="s">
        <v>263</v>
      </c>
      <c r="W25" s="57" t="s">
        <v>265</v>
      </c>
      <c r="X25" s="57" t="str">
        <f>IF('Interfaccia di selezione'!$K$5=0,"Alternativo",IF('Interfaccia di selezione'!$K$5=1,"Reprocicating"))</f>
        <v>Alternativo</v>
      </c>
      <c r="Y25" s="57">
        <v>1</v>
      </c>
      <c r="Z25" s="57">
        <v>672</v>
      </c>
      <c r="AA25" s="57">
        <v>460</v>
      </c>
      <c r="AB25" s="57">
        <v>463</v>
      </c>
      <c r="AC25" s="57">
        <v>170</v>
      </c>
      <c r="AD25" s="59">
        <v>31.5</v>
      </c>
      <c r="AE25" s="59">
        <v>74.8</v>
      </c>
      <c r="AF25" s="59">
        <v>117.1</v>
      </c>
      <c r="AG25" s="59" t="s">
        <v>277</v>
      </c>
      <c r="AH25" s="59">
        <v>4</v>
      </c>
      <c r="AI25" s="59">
        <v>20.5</v>
      </c>
      <c r="AJ25" s="59">
        <v>30</v>
      </c>
      <c r="AK25" s="60">
        <v>70.77</v>
      </c>
      <c r="AM25" s="57" t="s">
        <v>353</v>
      </c>
    </row>
    <row r="26" spans="1:64" ht="15.6" x14ac:dyDescent="0.3">
      <c r="A26" s="73"/>
      <c r="T26" s="5">
        <v>6</v>
      </c>
      <c r="U26" s="1" t="s">
        <v>18</v>
      </c>
      <c r="V26" s="57" t="s">
        <v>263</v>
      </c>
      <c r="W26" s="57" t="s">
        <v>265</v>
      </c>
      <c r="X26" s="57" t="str">
        <f>IF('Interfaccia di selezione'!$K$5=0,"Alternativo",IF('Interfaccia di selezione'!$K$5=1,"Reprocicating"))</f>
        <v>Alternativo</v>
      </c>
      <c r="Y26" s="57">
        <v>1</v>
      </c>
      <c r="Z26" s="57">
        <v>672</v>
      </c>
      <c r="AA26" s="57">
        <v>460</v>
      </c>
      <c r="AB26" s="57">
        <v>463</v>
      </c>
      <c r="AC26" s="57">
        <v>170</v>
      </c>
      <c r="AD26" s="59">
        <v>31.5</v>
      </c>
      <c r="AE26" s="59">
        <v>74.8</v>
      </c>
      <c r="AF26" s="59">
        <v>117.1</v>
      </c>
      <c r="AG26" s="59" t="s">
        <v>277</v>
      </c>
      <c r="AH26" s="59">
        <v>4</v>
      </c>
      <c r="AI26" s="59">
        <v>20.5</v>
      </c>
      <c r="AJ26" s="59">
        <v>30</v>
      </c>
      <c r="AK26" s="60">
        <v>70.77</v>
      </c>
      <c r="AM26" s="57" t="s">
        <v>353</v>
      </c>
    </row>
    <row r="27" spans="1:64" ht="15.75" customHeight="1" x14ac:dyDescent="0.3">
      <c r="A27" s="73"/>
      <c r="T27" s="5">
        <v>7</v>
      </c>
      <c r="U27" s="1" t="s">
        <v>19</v>
      </c>
      <c r="V27" s="57" t="s">
        <v>263</v>
      </c>
      <c r="W27" s="57" t="s">
        <v>265</v>
      </c>
      <c r="X27" s="57" t="str">
        <f>IF('Interfaccia di selezione'!$K$5=0,"Alternativo",IF('Interfaccia di selezione'!$K$5=1,"Reprocicating"))</f>
        <v>Alternativo</v>
      </c>
      <c r="Y27" s="57">
        <v>1</v>
      </c>
      <c r="Z27" s="57">
        <v>672</v>
      </c>
      <c r="AA27" s="57">
        <v>460</v>
      </c>
      <c r="AB27" s="57">
        <v>463</v>
      </c>
      <c r="AC27" s="57">
        <v>170</v>
      </c>
      <c r="AD27" s="59">
        <v>31.5</v>
      </c>
      <c r="AE27" s="59">
        <v>74.8</v>
      </c>
      <c r="AF27" s="59">
        <v>117.1</v>
      </c>
      <c r="AG27" s="59" t="s">
        <v>277</v>
      </c>
      <c r="AH27" s="59">
        <v>4</v>
      </c>
      <c r="AI27" s="59">
        <v>20.5</v>
      </c>
      <c r="AJ27" s="59">
        <v>30</v>
      </c>
      <c r="AK27" s="60">
        <v>70.77</v>
      </c>
      <c r="AM27" s="57" t="s">
        <v>353</v>
      </c>
    </row>
    <row r="28" spans="1:64" ht="25.5" customHeight="1" x14ac:dyDescent="0.3">
      <c r="A28" s="73"/>
      <c r="T28" s="5">
        <v>8</v>
      </c>
      <c r="U28" s="1" t="s">
        <v>20</v>
      </c>
      <c r="V28" s="57" t="s">
        <v>263</v>
      </c>
      <c r="W28" s="57" t="s">
        <v>266</v>
      </c>
      <c r="X28" s="57" t="str">
        <f>IF('Interfaccia di selezione'!$K$5=0,"Alternativo",IF('Interfaccia di selezione'!$K$5=1,"Reprocicating"))</f>
        <v>Alternativo</v>
      </c>
      <c r="Y28" s="57">
        <v>1</v>
      </c>
      <c r="Z28" s="57">
        <v>794</v>
      </c>
      <c r="AA28" s="57">
        <v>509</v>
      </c>
      <c r="AB28" s="57">
        <v>536</v>
      </c>
      <c r="AC28" s="57">
        <v>240</v>
      </c>
      <c r="AD28" s="59">
        <v>64.2</v>
      </c>
      <c r="AE28" s="59">
        <v>159.19999999999999</v>
      </c>
      <c r="AF28" s="59">
        <v>273</v>
      </c>
      <c r="AG28" s="59" t="s">
        <v>277</v>
      </c>
      <c r="AH28" s="59">
        <v>7.2</v>
      </c>
      <c r="AI28" s="59">
        <v>20.5</v>
      </c>
      <c r="AJ28" s="59">
        <v>30</v>
      </c>
      <c r="AK28" s="60">
        <v>139.68</v>
      </c>
      <c r="AM28" s="57" t="s">
        <v>353</v>
      </c>
    </row>
    <row r="29" spans="1:64" ht="24" customHeight="1" x14ac:dyDescent="0.3">
      <c r="A29" s="73"/>
      <c r="B29" s="238" t="str">
        <f>IF('Interfaccia di selezione'!$K$5=0,U53,IF('Interfaccia di selezione'!$K$5=1,U51))</f>
        <v>LUBRIFICANTE COMPRESSORE - ISO VG [-]</v>
      </c>
      <c r="C29" s="239"/>
      <c r="D29" s="239"/>
      <c r="E29" s="239"/>
      <c r="F29" s="239"/>
      <c r="T29" s="5">
        <v>9</v>
      </c>
      <c r="U29" s="1" t="s">
        <v>21</v>
      </c>
      <c r="V29" s="57" t="s">
        <v>263</v>
      </c>
      <c r="W29" s="57" t="s">
        <v>266</v>
      </c>
      <c r="X29" s="57" t="str">
        <f>IF('Interfaccia di selezione'!$K$5=0,"Alternativo",IF('Interfaccia di selezione'!$K$5=1,"Reprocicating"))</f>
        <v>Alternativo</v>
      </c>
      <c r="Y29" s="57">
        <v>1</v>
      </c>
      <c r="Z29" s="57">
        <v>794</v>
      </c>
      <c r="AA29" s="57">
        <v>509</v>
      </c>
      <c r="AB29" s="57">
        <v>536</v>
      </c>
      <c r="AC29" s="57">
        <v>240</v>
      </c>
      <c r="AD29" s="59">
        <v>64.2</v>
      </c>
      <c r="AE29" s="59">
        <v>159.19999999999999</v>
      </c>
      <c r="AF29" s="59">
        <v>273</v>
      </c>
      <c r="AG29" s="59" t="s">
        <v>277</v>
      </c>
      <c r="AH29" s="59">
        <v>7.2</v>
      </c>
      <c r="AI29" s="59">
        <v>20.5</v>
      </c>
      <c r="AJ29" s="59">
        <v>30</v>
      </c>
      <c r="AK29" s="60">
        <v>139.68</v>
      </c>
      <c r="AM29" s="57" t="s">
        <v>353</v>
      </c>
    </row>
    <row r="30" spans="1:64" ht="16.2" thickBot="1" x14ac:dyDescent="0.35">
      <c r="A30" s="73"/>
      <c r="B30" s="236" t="str">
        <f>VLOOKUP($E$23,$U$54:$AF$55,1,FALSE)</f>
        <v>PAG68</v>
      </c>
      <c r="C30" s="237"/>
      <c r="D30" s="237"/>
      <c r="E30" s="237"/>
      <c r="F30" s="237"/>
      <c r="T30" s="5">
        <v>10</v>
      </c>
      <c r="U30" s="1" t="s">
        <v>22</v>
      </c>
      <c r="V30" s="57" t="s">
        <v>263</v>
      </c>
      <c r="W30" s="57" t="s">
        <v>266</v>
      </c>
      <c r="X30" s="57" t="str">
        <f>IF('Interfaccia di selezione'!$K$5=0,"Alternativo",IF('Interfaccia di selezione'!$K$5=1,"Reprocicating"))</f>
        <v>Alternativo</v>
      </c>
      <c r="Y30" s="57">
        <v>1</v>
      </c>
      <c r="Z30" s="57">
        <v>794</v>
      </c>
      <c r="AA30" s="57">
        <v>509</v>
      </c>
      <c r="AB30" s="57">
        <v>536</v>
      </c>
      <c r="AC30" s="57">
        <v>240</v>
      </c>
      <c r="AD30" s="59">
        <v>64.2</v>
      </c>
      <c r="AE30" s="59">
        <v>159.19999999999999</v>
      </c>
      <c r="AF30" s="59">
        <v>273</v>
      </c>
      <c r="AG30" s="59" t="s">
        <v>277</v>
      </c>
      <c r="AH30" s="59">
        <v>7.2</v>
      </c>
      <c r="AI30" s="59">
        <v>20.5</v>
      </c>
      <c r="AJ30" s="59">
        <v>30</v>
      </c>
      <c r="AK30" s="60">
        <v>139.68</v>
      </c>
      <c r="AM30" s="57" t="s">
        <v>353</v>
      </c>
    </row>
    <row r="31" spans="1:64" ht="20.25" customHeight="1" x14ac:dyDescent="0.3">
      <c r="A31" s="73"/>
      <c r="B31" s="170" t="str">
        <f>IF('Interfaccia di selezione'!$K$5=0,W53,IF('Interfaccia di selezione'!$K$5=1,W51))</f>
        <v>Viscosità Cinematica a 40°C [cSt]</v>
      </c>
      <c r="C31" s="170" t="str">
        <f>IF('Interfaccia di selezione'!$K$5=0,X53,IF('Interfaccia di selezione'!$K$5=1,X51))</f>
        <v>Viscosità Cinematica a 100°C [cSt]</v>
      </c>
      <c r="D31" s="170" t="str">
        <f>IF('Interfaccia di selezione'!$K$5=0,Y53,IF('Interfaccia di selezione'!$K$5=1,Y51))</f>
        <v>Indice di viscosità [-]</v>
      </c>
      <c r="E31" s="170" t="str">
        <f>IF('Interfaccia di selezione'!$K$5=0,Z53,IF('Interfaccia di selezione'!$K$5=1,Z51))</f>
        <v>Punto di scorrimento [°C]</v>
      </c>
      <c r="F31" s="170" t="str">
        <f>IF('Interfaccia di selezione'!$K$5=0,AA53,IF('Interfaccia di selezione'!$K$5=1,AA51))</f>
        <v>Punto di infiammabilità [°C]</v>
      </c>
      <c r="T31" s="5">
        <v>11</v>
      </c>
      <c r="U31" s="1" t="s">
        <v>23</v>
      </c>
      <c r="V31" s="57" t="s">
        <v>263</v>
      </c>
      <c r="W31" s="64" t="s">
        <v>300</v>
      </c>
      <c r="X31" s="57" t="str">
        <f>IF('Interfaccia di selezione'!$K$5=0,"Alternativo",IF('Interfaccia di selezione'!$K$5=1,"Reprocicating"))</f>
        <v>Alternativo</v>
      </c>
      <c r="Y31" s="64" t="s">
        <v>311</v>
      </c>
      <c r="Z31" s="64" t="s">
        <v>301</v>
      </c>
      <c r="AA31" s="64" t="s">
        <v>302</v>
      </c>
      <c r="AB31" s="64" t="s">
        <v>303</v>
      </c>
      <c r="AC31" s="64" t="s">
        <v>304</v>
      </c>
      <c r="AD31" s="65" t="s">
        <v>305</v>
      </c>
      <c r="AE31" s="65" t="s">
        <v>306</v>
      </c>
      <c r="AF31" s="65" t="s">
        <v>307</v>
      </c>
      <c r="AG31" s="65" t="s">
        <v>277</v>
      </c>
      <c r="AH31" s="65" t="s">
        <v>308</v>
      </c>
      <c r="AI31" s="65" t="s">
        <v>309</v>
      </c>
      <c r="AJ31" s="65" t="s">
        <v>310</v>
      </c>
      <c r="AK31" s="76" t="s">
        <v>372</v>
      </c>
      <c r="AM31" s="57" t="s">
        <v>353</v>
      </c>
    </row>
    <row r="32" spans="1:64" ht="16.2" thickBot="1" x14ac:dyDescent="0.35">
      <c r="A32" s="73"/>
      <c r="B32" s="11">
        <f>VLOOKUP($E$23,$U$54:$AF$55,3,FALSE)</f>
        <v>68</v>
      </c>
      <c r="C32" s="11">
        <f>VLOOKUP($E$23,$U$54:$AF$55,4,FALSE)</f>
        <v>12.4</v>
      </c>
      <c r="D32" s="11">
        <f>VLOOKUP($E$23,$U$54:$AF$55,5,FALSE)</f>
        <v>181</v>
      </c>
      <c r="E32" s="11">
        <f>VLOOKUP($E$23,$U$54:$AF$55,6,FALSE)</f>
        <v>-40</v>
      </c>
      <c r="F32" s="11">
        <f>VLOOKUP($E$23,$U$54:$AF$55,7,FALSE)</f>
        <v>215</v>
      </c>
      <c r="T32" s="5">
        <v>12</v>
      </c>
      <c r="U32" s="1" t="s">
        <v>24</v>
      </c>
      <c r="V32" s="57" t="s">
        <v>263</v>
      </c>
      <c r="W32" s="57" t="s">
        <v>267</v>
      </c>
      <c r="X32" s="57" t="str">
        <f>IF('Interfaccia di selezione'!$K$5=0,"Alternativo",IF('Interfaccia di selezione'!$K$5=1,"Reprocicating"))</f>
        <v>Alternativo</v>
      </c>
      <c r="Y32" s="57">
        <v>1</v>
      </c>
      <c r="Z32" s="57">
        <v>864</v>
      </c>
      <c r="AA32" s="57">
        <v>519</v>
      </c>
      <c r="AB32" s="57">
        <v>588</v>
      </c>
      <c r="AC32" s="57">
        <v>328</v>
      </c>
      <c r="AD32" s="59">
        <v>101.8</v>
      </c>
      <c r="AE32" s="59">
        <v>417</v>
      </c>
      <c r="AF32" s="59">
        <v>584</v>
      </c>
      <c r="AG32" s="59" t="s">
        <v>278</v>
      </c>
      <c r="AH32" s="59">
        <v>7.7</v>
      </c>
      <c r="AI32" s="59">
        <v>20.5</v>
      </c>
      <c r="AJ32" s="59">
        <v>30</v>
      </c>
      <c r="AK32" s="60">
        <v>239.02</v>
      </c>
      <c r="AM32" s="57" t="s">
        <v>353</v>
      </c>
    </row>
    <row r="33" spans="1:39" ht="18.75" customHeight="1" x14ac:dyDescent="0.3">
      <c r="A33" s="73"/>
      <c r="B33" s="171" t="str">
        <f>IF('Interfaccia di selezione'!$K$5=0,AB53,IF('Interfaccia di selezione'!$K$5=1,AB51))</f>
        <v>Densità a 15°C [g/cm^3]</v>
      </c>
      <c r="C33" s="172" t="str">
        <f>IF('Interfaccia di selezione'!$K$5=0,AC53,IF('Interfaccia di selezione'!$K$5=1,AC51))</f>
        <v>Contenuto umidità [ppm]</v>
      </c>
      <c r="D33" s="170" t="str">
        <f>IF('Interfaccia di selezione'!$K$5=0,AD53,IF('Interfaccia di selezione'!$K$5=1,AD51))</f>
        <v>Acidità totale [mgKOH/g]</v>
      </c>
      <c r="E33" s="170" t="str">
        <f>IF('Interfaccia di selezione'!$K$5=0,AE53,IF('Interfaccia di selezione'!$K$5=1,AE51))</f>
        <v>Colore [APHA]</v>
      </c>
      <c r="F33" s="170" t="str">
        <f>IF('Interfaccia di selezione'!$K$5=0,AF53,IF('Interfaccia di selezione'!$K$5=1,AF51))</f>
        <v>Efficienza di cappaggio [%]</v>
      </c>
      <c r="T33" s="5">
        <v>13</v>
      </c>
      <c r="U33" s="1" t="s">
        <v>25</v>
      </c>
      <c r="V33" s="57" t="s">
        <v>263</v>
      </c>
      <c r="W33" s="57" t="s">
        <v>267</v>
      </c>
      <c r="X33" s="57" t="str">
        <f>IF('Interfaccia di selezione'!$K$5=0,"Alternativo",IF('Interfaccia di selezione'!$K$5=1,"Reprocicating"))</f>
        <v>Alternativo</v>
      </c>
      <c r="Y33" s="57">
        <v>1</v>
      </c>
      <c r="Z33" s="57">
        <v>864</v>
      </c>
      <c r="AA33" s="57">
        <v>519</v>
      </c>
      <c r="AB33" s="57">
        <v>588</v>
      </c>
      <c r="AC33" s="57">
        <v>328</v>
      </c>
      <c r="AD33" s="59">
        <v>101.8</v>
      </c>
      <c r="AE33" s="59">
        <v>417</v>
      </c>
      <c r="AF33" s="59">
        <v>584</v>
      </c>
      <c r="AG33" s="59" t="s">
        <v>278</v>
      </c>
      <c r="AH33" s="59">
        <v>7.7</v>
      </c>
      <c r="AI33" s="59">
        <v>20.5</v>
      </c>
      <c r="AJ33" s="59">
        <v>30</v>
      </c>
      <c r="AK33" s="60">
        <v>239.02</v>
      </c>
      <c r="AM33" s="57" t="s">
        <v>353</v>
      </c>
    </row>
    <row r="34" spans="1:39" ht="16.5" customHeight="1" x14ac:dyDescent="0.3">
      <c r="A34" s="73"/>
      <c r="B34" s="11">
        <f>VLOOKUP($E$23,$U$54:$AF$55,8,FALSE)</f>
        <v>0.99199999999999999</v>
      </c>
      <c r="C34" s="103">
        <f>VLOOKUP($E$23,$U$54:$AF$55,9,FALSE)</f>
        <v>300</v>
      </c>
      <c r="D34" s="11">
        <f>VLOOKUP($E$23,$U$54:$AF$55,10,FALSE)</f>
        <v>0.02</v>
      </c>
      <c r="E34" s="11">
        <f>VLOOKUP($E$23,$U$54:$AF$55,11,FALSE)</f>
        <v>16</v>
      </c>
      <c r="F34" s="11">
        <f>VLOOKUP($E$23,$U$54:$AF$55,12,FALSE)</f>
        <v>95</v>
      </c>
      <c r="T34" s="5">
        <v>14</v>
      </c>
      <c r="U34" s="1" t="s">
        <v>26</v>
      </c>
      <c r="V34" s="57" t="s">
        <v>263</v>
      </c>
      <c r="W34" s="57" t="s">
        <v>266</v>
      </c>
      <c r="X34" s="57" t="str">
        <f>IF('Interfaccia di selezione'!$K$5=0,"Alternativo",IF('Interfaccia di selezione'!$K$5=1,"Reprocicating"))</f>
        <v>Alternativo</v>
      </c>
      <c r="Y34" s="57">
        <v>1</v>
      </c>
      <c r="Z34" s="57">
        <v>794</v>
      </c>
      <c r="AA34" s="57">
        <v>509</v>
      </c>
      <c r="AB34" s="59">
        <v>505</v>
      </c>
      <c r="AC34" s="57">
        <v>240</v>
      </c>
      <c r="AD34" s="59">
        <v>64.2</v>
      </c>
      <c r="AE34" s="59">
        <v>159.19999999999999</v>
      </c>
      <c r="AF34" s="59">
        <v>273</v>
      </c>
      <c r="AG34" s="59" t="s">
        <v>277</v>
      </c>
      <c r="AH34" s="59">
        <v>7.2</v>
      </c>
      <c r="AI34" s="59">
        <v>20.5</v>
      </c>
      <c r="AJ34" s="59">
        <v>30</v>
      </c>
      <c r="AK34" s="60">
        <v>139.68</v>
      </c>
      <c r="AM34" s="57" t="s">
        <v>353</v>
      </c>
    </row>
    <row r="35" spans="1:39" ht="19.5" customHeight="1" x14ac:dyDescent="0.3">
      <c r="A35" s="73"/>
      <c r="T35" s="5">
        <v>15</v>
      </c>
      <c r="U35" s="1" t="s">
        <v>50</v>
      </c>
      <c r="V35" s="57" t="s">
        <v>263</v>
      </c>
      <c r="W35" s="58" t="s">
        <v>312</v>
      </c>
      <c r="X35" s="57" t="str">
        <f>IF('Interfaccia di selezione'!$K$5=0,"Alternativo",IF('Interfaccia di selezione'!$K$5=1,"Reprocicating"))</f>
        <v>Alternativo</v>
      </c>
      <c r="Y35" s="65" t="s">
        <v>311</v>
      </c>
      <c r="Z35" s="65" t="s">
        <v>313</v>
      </c>
      <c r="AA35" s="65" t="s">
        <v>314</v>
      </c>
      <c r="AB35" s="65" t="s">
        <v>315</v>
      </c>
      <c r="AC35" s="65" t="s">
        <v>316</v>
      </c>
      <c r="AD35" s="65" t="s">
        <v>317</v>
      </c>
      <c r="AE35" s="65" t="s">
        <v>318</v>
      </c>
      <c r="AF35" s="65" t="s">
        <v>319</v>
      </c>
      <c r="AG35" s="65" t="s">
        <v>277</v>
      </c>
      <c r="AH35" s="65" t="s">
        <v>320</v>
      </c>
      <c r="AI35" s="65" t="s">
        <v>309</v>
      </c>
      <c r="AJ35" s="65" t="s">
        <v>310</v>
      </c>
      <c r="AK35" s="66" t="s">
        <v>321</v>
      </c>
      <c r="AM35" s="57" t="s">
        <v>353</v>
      </c>
    </row>
    <row r="36" spans="1:39" ht="15.6" x14ac:dyDescent="0.3">
      <c r="A36" s="73"/>
      <c r="T36" s="5">
        <v>16</v>
      </c>
      <c r="U36" s="1" t="s">
        <v>138</v>
      </c>
      <c r="V36" s="57" t="s">
        <v>263</v>
      </c>
      <c r="W36" s="57" t="s">
        <v>267</v>
      </c>
      <c r="X36" s="57" t="str">
        <f>IF('Interfaccia di selezione'!$K$5=0,"Alternativo",IF('Interfaccia di selezione'!$K$5=1,"Reprocicating"))</f>
        <v>Alternativo</v>
      </c>
      <c r="Y36" s="57">
        <v>1</v>
      </c>
      <c r="Z36" s="57">
        <v>864</v>
      </c>
      <c r="AA36" s="57">
        <v>519</v>
      </c>
      <c r="AB36" s="57">
        <v>588</v>
      </c>
      <c r="AC36" s="57">
        <v>328</v>
      </c>
      <c r="AD36" s="59">
        <v>101.8</v>
      </c>
      <c r="AE36" s="59">
        <v>417</v>
      </c>
      <c r="AF36" s="59">
        <v>584</v>
      </c>
      <c r="AG36" s="59" t="s">
        <v>278</v>
      </c>
      <c r="AH36" s="59">
        <v>7.7</v>
      </c>
      <c r="AI36" s="59">
        <v>20.5</v>
      </c>
      <c r="AJ36" s="59">
        <v>30</v>
      </c>
      <c r="AK36" s="60">
        <v>239.02</v>
      </c>
      <c r="AM36" s="57" t="s">
        <v>353</v>
      </c>
    </row>
    <row r="37" spans="1:39" ht="15.6" x14ac:dyDescent="0.3">
      <c r="A37" s="73"/>
      <c r="T37" s="5">
        <v>17</v>
      </c>
      <c r="U37" s="1" t="s">
        <v>139</v>
      </c>
      <c r="V37" s="57" t="s">
        <v>263</v>
      </c>
      <c r="W37" s="57" t="s">
        <v>267</v>
      </c>
      <c r="X37" s="57" t="str">
        <f>IF('Interfaccia di selezione'!$K$5=0,"Alternativo",IF('Interfaccia di selezione'!$K$5=1,"Reprocicating"))</f>
        <v>Alternativo</v>
      </c>
      <c r="Y37" s="57">
        <v>2</v>
      </c>
      <c r="Z37" s="57">
        <v>864</v>
      </c>
      <c r="AA37" s="57">
        <v>519</v>
      </c>
      <c r="AB37" s="57">
        <v>588</v>
      </c>
      <c r="AC37" s="57">
        <v>328</v>
      </c>
      <c r="AD37" s="59">
        <v>101.8</v>
      </c>
      <c r="AE37" s="59">
        <v>417</v>
      </c>
      <c r="AF37" s="59">
        <v>584</v>
      </c>
      <c r="AG37" s="59" t="s">
        <v>278</v>
      </c>
      <c r="AH37" s="59">
        <v>7.7</v>
      </c>
      <c r="AI37" s="59">
        <v>20.5</v>
      </c>
      <c r="AJ37" s="59">
        <v>30</v>
      </c>
      <c r="AK37" s="60">
        <v>239.02</v>
      </c>
      <c r="AM37" s="57" t="s">
        <v>353</v>
      </c>
    </row>
    <row r="38" spans="1:39" ht="15.75" customHeight="1" x14ac:dyDescent="0.3">
      <c r="A38" s="73"/>
      <c r="T38" s="5">
        <v>18</v>
      </c>
      <c r="U38" s="1" t="s">
        <v>75</v>
      </c>
      <c r="V38" s="57" t="s">
        <v>263</v>
      </c>
      <c r="W38" s="57" t="s">
        <v>267</v>
      </c>
      <c r="X38" s="57" t="str">
        <f>IF('Interfaccia di selezione'!$K$5=0,"Alternativo",IF('Interfaccia di selezione'!$K$5=1,"Reprocicating"))</f>
        <v>Alternativo</v>
      </c>
      <c r="Y38" s="57">
        <v>2</v>
      </c>
      <c r="Z38" s="57">
        <v>864</v>
      </c>
      <c r="AA38" s="57">
        <v>519</v>
      </c>
      <c r="AB38" s="57">
        <v>588</v>
      </c>
      <c r="AC38" s="57">
        <v>328</v>
      </c>
      <c r="AD38" s="59">
        <v>101.8</v>
      </c>
      <c r="AE38" s="59">
        <v>417</v>
      </c>
      <c r="AF38" s="59">
        <v>584</v>
      </c>
      <c r="AG38" s="59" t="s">
        <v>278</v>
      </c>
      <c r="AH38" s="59">
        <v>7.7</v>
      </c>
      <c r="AI38" s="59">
        <v>20.5</v>
      </c>
      <c r="AJ38" s="59">
        <v>30</v>
      </c>
      <c r="AK38" s="60">
        <v>239.02</v>
      </c>
      <c r="AM38" s="57" t="s">
        <v>353</v>
      </c>
    </row>
    <row r="39" spans="1:39" ht="15" customHeight="1" x14ac:dyDescent="0.3">
      <c r="A39" s="73"/>
      <c r="T39" s="5">
        <v>19</v>
      </c>
      <c r="U39" s="1" t="s">
        <v>140</v>
      </c>
      <c r="V39" s="57" t="s">
        <v>263</v>
      </c>
      <c r="W39" s="57" t="s">
        <v>267</v>
      </c>
      <c r="X39" s="57" t="str">
        <f>IF('Interfaccia di selezione'!$K$5=0,"Alternativo",IF('Interfaccia di selezione'!$K$5=1,"Reprocicating"))</f>
        <v>Alternativo</v>
      </c>
      <c r="Y39" s="57">
        <v>2</v>
      </c>
      <c r="Z39" s="57">
        <v>864</v>
      </c>
      <c r="AA39" s="57">
        <v>519</v>
      </c>
      <c r="AB39" s="57">
        <v>588</v>
      </c>
      <c r="AC39" s="57">
        <v>328</v>
      </c>
      <c r="AD39" s="59">
        <v>101.8</v>
      </c>
      <c r="AE39" s="59">
        <v>417</v>
      </c>
      <c r="AF39" s="59">
        <v>584</v>
      </c>
      <c r="AG39" s="59" t="s">
        <v>278</v>
      </c>
      <c r="AH39" s="59">
        <v>7.7</v>
      </c>
      <c r="AI39" s="59">
        <v>20.5</v>
      </c>
      <c r="AJ39" s="59">
        <v>30</v>
      </c>
      <c r="AK39" s="60">
        <v>239.02</v>
      </c>
      <c r="AM39" s="57" t="s">
        <v>353</v>
      </c>
    </row>
    <row r="40" spans="1:39" ht="15" customHeight="1" x14ac:dyDescent="0.3">
      <c r="A40" s="73"/>
      <c r="T40" s="5">
        <v>20</v>
      </c>
      <c r="U40" s="1" t="s">
        <v>51</v>
      </c>
      <c r="V40" s="57" t="s">
        <v>263</v>
      </c>
      <c r="W40" s="64" t="s">
        <v>322</v>
      </c>
      <c r="X40" s="57" t="str">
        <f>IF('Interfaccia di selezione'!$K$5=0,"Vite",IF('Interfaccia di selezione'!$K$5=1,"Screw"))</f>
        <v>Vite</v>
      </c>
      <c r="Y40" s="64" t="s">
        <v>311</v>
      </c>
      <c r="Z40" s="64" t="s">
        <v>323</v>
      </c>
      <c r="AA40" s="64" t="s">
        <v>324</v>
      </c>
      <c r="AB40" s="64" t="s">
        <v>325</v>
      </c>
      <c r="AC40" s="64" t="s">
        <v>326</v>
      </c>
      <c r="AD40" s="65" t="s">
        <v>327</v>
      </c>
      <c r="AE40" s="65" t="s">
        <v>328</v>
      </c>
      <c r="AF40" s="65" t="s">
        <v>329</v>
      </c>
      <c r="AG40" s="65" t="s">
        <v>278</v>
      </c>
      <c r="AH40" s="65" t="s">
        <v>330</v>
      </c>
      <c r="AI40" s="65" t="s">
        <v>309</v>
      </c>
      <c r="AJ40" s="65" t="s">
        <v>310</v>
      </c>
      <c r="AK40" s="66" t="s">
        <v>331</v>
      </c>
      <c r="AM40" s="57" t="s">
        <v>354</v>
      </c>
    </row>
    <row r="41" spans="1:39" ht="15.6" x14ac:dyDescent="0.3">
      <c r="A41" s="73"/>
      <c r="T41" s="5">
        <v>21</v>
      </c>
      <c r="U41" s="1" t="s">
        <v>77</v>
      </c>
      <c r="V41" s="57" t="s">
        <v>263</v>
      </c>
      <c r="W41" s="57" t="s">
        <v>268</v>
      </c>
      <c r="X41" s="57" t="str">
        <f>IF('Interfaccia di selezione'!$K$5=0,"Vite",IF('Interfaccia di selezione'!$K$5=1,"Screw"))</f>
        <v>Vite</v>
      </c>
      <c r="Y41" s="57">
        <v>1</v>
      </c>
      <c r="Z41" s="57">
        <v>1845</v>
      </c>
      <c r="AA41" s="57">
        <v>685</v>
      </c>
      <c r="AB41" s="57">
        <v>836</v>
      </c>
      <c r="AC41" s="57">
        <v>1348</v>
      </c>
      <c r="AD41" s="59">
        <v>283</v>
      </c>
      <c r="AE41" s="59">
        <v>436</v>
      </c>
      <c r="AF41" s="59">
        <v>1364</v>
      </c>
      <c r="AG41" s="59" t="s">
        <v>278</v>
      </c>
      <c r="AH41" s="59">
        <v>26</v>
      </c>
      <c r="AI41" s="59">
        <v>20.5</v>
      </c>
      <c r="AJ41" s="59">
        <v>30</v>
      </c>
      <c r="AK41" s="60">
        <v>620</v>
      </c>
      <c r="AM41" s="57" t="s">
        <v>354</v>
      </c>
    </row>
    <row r="42" spans="1:39" ht="15.6" x14ac:dyDescent="0.3">
      <c r="A42" s="73"/>
      <c r="T42" s="5">
        <v>22</v>
      </c>
      <c r="U42" s="1" t="s">
        <v>78</v>
      </c>
      <c r="V42" s="57" t="s">
        <v>263</v>
      </c>
      <c r="W42" s="57" t="s">
        <v>268</v>
      </c>
      <c r="X42" s="57" t="str">
        <f>IF('Interfaccia di selezione'!$K$5=0,"Vite",IF('Interfaccia di selezione'!$K$5=1,"Screw"))</f>
        <v>Vite</v>
      </c>
      <c r="Y42" s="57">
        <v>1</v>
      </c>
      <c r="Z42" s="57">
        <v>1845</v>
      </c>
      <c r="AA42" s="57">
        <v>685</v>
      </c>
      <c r="AB42" s="57">
        <v>836</v>
      </c>
      <c r="AC42" s="57">
        <v>1348</v>
      </c>
      <c r="AD42" s="59">
        <v>283</v>
      </c>
      <c r="AE42" s="59">
        <v>436</v>
      </c>
      <c r="AF42" s="59">
        <v>1364</v>
      </c>
      <c r="AG42" s="59" t="s">
        <v>278</v>
      </c>
      <c r="AH42" s="59">
        <v>26</v>
      </c>
      <c r="AI42" s="59">
        <v>20.5</v>
      </c>
      <c r="AJ42" s="59">
        <v>30</v>
      </c>
      <c r="AK42" s="60">
        <v>620</v>
      </c>
      <c r="AM42" s="57" t="s">
        <v>354</v>
      </c>
    </row>
    <row r="43" spans="1:39" ht="15.6" x14ac:dyDescent="0.3">
      <c r="A43" s="73"/>
      <c r="T43" s="5">
        <v>23</v>
      </c>
      <c r="U43" s="1" t="s">
        <v>79</v>
      </c>
      <c r="V43" s="57" t="s">
        <v>263</v>
      </c>
      <c r="W43" s="57" t="s">
        <v>268</v>
      </c>
      <c r="X43" s="57" t="str">
        <f>IF('Interfaccia di selezione'!$K$5=0,"Vite",IF('Interfaccia di selezione'!$K$5=1,"Screw"))</f>
        <v>Vite</v>
      </c>
      <c r="Y43" s="57">
        <v>1</v>
      </c>
      <c r="Z43" s="57">
        <v>1845</v>
      </c>
      <c r="AA43" s="57">
        <v>685</v>
      </c>
      <c r="AB43" s="57">
        <v>836</v>
      </c>
      <c r="AC43" s="57">
        <v>1348</v>
      </c>
      <c r="AD43" s="59">
        <v>283</v>
      </c>
      <c r="AE43" s="59">
        <v>436</v>
      </c>
      <c r="AF43" s="59">
        <v>1364</v>
      </c>
      <c r="AG43" s="59" t="s">
        <v>278</v>
      </c>
      <c r="AH43" s="59">
        <v>26</v>
      </c>
      <c r="AI43" s="59">
        <v>20.5</v>
      </c>
      <c r="AJ43" s="59">
        <v>30</v>
      </c>
      <c r="AK43" s="60">
        <v>620</v>
      </c>
      <c r="AM43" s="57" t="s">
        <v>354</v>
      </c>
    </row>
    <row r="44" spans="1:39" ht="15.75" customHeight="1" x14ac:dyDescent="0.3">
      <c r="A44" s="73"/>
      <c r="T44" s="5">
        <v>24</v>
      </c>
      <c r="U44" s="1" t="s">
        <v>80</v>
      </c>
      <c r="V44" s="57" t="s">
        <v>263</v>
      </c>
      <c r="W44" s="64" t="s">
        <v>332</v>
      </c>
      <c r="X44" s="57" t="str">
        <f>IF('Interfaccia di selezione'!$K$5=0,"Vite",IF('Interfaccia di selezione'!$K$5=1,"Screw"))</f>
        <v>Vite</v>
      </c>
      <c r="Y44" s="57">
        <v>1</v>
      </c>
      <c r="Z44" s="64" t="s">
        <v>333</v>
      </c>
      <c r="AA44" s="64" t="s">
        <v>334</v>
      </c>
      <c r="AB44" s="64" t="s">
        <v>335</v>
      </c>
      <c r="AC44" s="64" t="s">
        <v>336</v>
      </c>
      <c r="AD44" s="65" t="s">
        <v>337</v>
      </c>
      <c r="AE44" s="65" t="s">
        <v>338</v>
      </c>
      <c r="AF44" s="65" t="s">
        <v>339</v>
      </c>
      <c r="AG44" s="65" t="s">
        <v>278</v>
      </c>
      <c r="AH44" s="65" t="s">
        <v>340</v>
      </c>
      <c r="AI44" s="65" t="s">
        <v>309</v>
      </c>
      <c r="AJ44" s="65" t="s">
        <v>310</v>
      </c>
      <c r="AK44" s="66" t="s">
        <v>341</v>
      </c>
      <c r="AM44" s="57" t="s">
        <v>354</v>
      </c>
    </row>
    <row r="45" spans="1:39" ht="17.25" customHeight="1" x14ac:dyDescent="0.3">
      <c r="A45" s="73"/>
      <c r="T45" s="5">
        <v>25</v>
      </c>
      <c r="U45" s="1" t="s">
        <v>81</v>
      </c>
      <c r="V45" s="59" t="s">
        <v>263</v>
      </c>
      <c r="W45" s="65" t="s">
        <v>342</v>
      </c>
      <c r="X45" s="57" t="str">
        <f>IF('Interfaccia di selezione'!$K$5=0,"Vite",IF('Interfaccia di selezione'!$K$5=1,"Screw"))</f>
        <v>Vite</v>
      </c>
      <c r="Y45" s="57">
        <v>1</v>
      </c>
      <c r="Z45" s="64" t="s">
        <v>343</v>
      </c>
      <c r="AA45" s="64" t="s">
        <v>344</v>
      </c>
      <c r="AB45" s="64" t="s">
        <v>345</v>
      </c>
      <c r="AC45" s="64" t="s">
        <v>346</v>
      </c>
      <c r="AD45" s="65" t="s">
        <v>347</v>
      </c>
      <c r="AE45" s="65" t="s">
        <v>348</v>
      </c>
      <c r="AF45" s="65" t="s">
        <v>349</v>
      </c>
      <c r="AG45" s="65" t="s">
        <v>278</v>
      </c>
      <c r="AH45" s="65" t="s">
        <v>350</v>
      </c>
      <c r="AI45" s="65" t="s">
        <v>309</v>
      </c>
      <c r="AJ45" s="65" t="s">
        <v>310</v>
      </c>
      <c r="AK45" s="66" t="s">
        <v>351</v>
      </c>
      <c r="AM45" s="57" t="s">
        <v>354</v>
      </c>
    </row>
    <row r="46" spans="1:39" ht="16.5" customHeight="1" x14ac:dyDescent="0.3">
      <c r="A46" s="73"/>
      <c r="T46" s="5">
        <v>26</v>
      </c>
      <c r="U46" s="1" t="s">
        <v>82</v>
      </c>
      <c r="V46" s="57" t="s">
        <v>263</v>
      </c>
      <c r="W46" s="57" t="s">
        <v>268</v>
      </c>
      <c r="X46" s="57" t="str">
        <f>IF('Interfaccia di selezione'!$K$5=0,"Vite",IF('Interfaccia di selezione'!$K$5=1,"Screw"))</f>
        <v>Vite</v>
      </c>
      <c r="Y46" s="57">
        <v>2</v>
      </c>
      <c r="Z46" s="57">
        <v>1845</v>
      </c>
      <c r="AA46" s="57">
        <v>685</v>
      </c>
      <c r="AB46" s="57">
        <v>836</v>
      </c>
      <c r="AC46" s="57">
        <v>1348</v>
      </c>
      <c r="AD46" s="59">
        <v>283</v>
      </c>
      <c r="AE46" s="59">
        <v>436</v>
      </c>
      <c r="AF46" s="59">
        <v>1364</v>
      </c>
      <c r="AG46" s="59" t="s">
        <v>278</v>
      </c>
      <c r="AH46" s="59">
        <v>26</v>
      </c>
      <c r="AI46" s="59">
        <v>20.5</v>
      </c>
      <c r="AJ46" s="59">
        <v>30</v>
      </c>
      <c r="AK46" s="60">
        <v>620</v>
      </c>
      <c r="AM46" s="57" t="s">
        <v>354</v>
      </c>
    </row>
    <row r="47" spans="1:39" ht="15.6" x14ac:dyDescent="0.3">
      <c r="A47" s="73"/>
      <c r="T47" s="5">
        <v>27</v>
      </c>
      <c r="U47" s="1" t="s">
        <v>83</v>
      </c>
      <c r="V47" s="57" t="s">
        <v>263</v>
      </c>
      <c r="W47" s="57" t="s">
        <v>268</v>
      </c>
      <c r="X47" s="57" t="str">
        <f>IF('Interfaccia di selezione'!$K$5=0,"Vite",IF('Interfaccia di selezione'!$K$5=1,"Screw"))</f>
        <v>Vite</v>
      </c>
      <c r="Y47" s="57">
        <v>2</v>
      </c>
      <c r="Z47" s="57">
        <v>1845</v>
      </c>
      <c r="AA47" s="57">
        <v>685</v>
      </c>
      <c r="AB47" s="57">
        <v>836</v>
      </c>
      <c r="AC47" s="57">
        <v>1348</v>
      </c>
      <c r="AD47" s="59">
        <v>283</v>
      </c>
      <c r="AE47" s="59">
        <v>436</v>
      </c>
      <c r="AF47" s="59">
        <v>1364</v>
      </c>
      <c r="AG47" s="59" t="s">
        <v>278</v>
      </c>
      <c r="AH47" s="59">
        <v>26</v>
      </c>
      <c r="AI47" s="59">
        <v>20.5</v>
      </c>
      <c r="AJ47" s="59">
        <v>30</v>
      </c>
      <c r="AK47" s="60">
        <v>620</v>
      </c>
      <c r="AM47" s="57" t="s">
        <v>354</v>
      </c>
    </row>
    <row r="48" spans="1:39" ht="16.5" customHeight="1" x14ac:dyDescent="0.3">
      <c r="A48" s="73"/>
      <c r="T48" s="5">
        <v>28</v>
      </c>
      <c r="U48" s="1" t="s">
        <v>84</v>
      </c>
      <c r="V48" s="57" t="s">
        <v>263</v>
      </c>
      <c r="W48" s="57" t="s">
        <v>268</v>
      </c>
      <c r="X48" s="57" t="str">
        <f>IF('Interfaccia di selezione'!$K$5=0,"Vite",IF('Interfaccia di selezione'!$K$5=1,"Screw"))</f>
        <v>Vite</v>
      </c>
      <c r="Y48" s="57">
        <v>2</v>
      </c>
      <c r="Z48" s="57">
        <v>1845</v>
      </c>
      <c r="AA48" s="57">
        <v>685</v>
      </c>
      <c r="AB48" s="57">
        <v>836</v>
      </c>
      <c r="AC48" s="57">
        <v>1348</v>
      </c>
      <c r="AD48" s="59">
        <v>283</v>
      </c>
      <c r="AE48" s="59">
        <v>436</v>
      </c>
      <c r="AF48" s="59">
        <v>1364</v>
      </c>
      <c r="AG48" s="59" t="s">
        <v>278</v>
      </c>
      <c r="AH48" s="59">
        <v>26</v>
      </c>
      <c r="AI48" s="59">
        <v>20.5</v>
      </c>
      <c r="AJ48" s="59">
        <v>30</v>
      </c>
      <c r="AK48" s="60">
        <v>620</v>
      </c>
      <c r="AM48" s="57" t="s">
        <v>354</v>
      </c>
    </row>
    <row r="49" spans="1:39" ht="16.5" customHeight="1" x14ac:dyDescent="0.3">
      <c r="A49" s="73"/>
      <c r="T49" s="145">
        <v>29</v>
      </c>
      <c r="U49" s="1" t="s">
        <v>1554</v>
      </c>
      <c r="V49" s="57" t="s">
        <v>263</v>
      </c>
      <c r="W49" s="57" t="s">
        <v>268</v>
      </c>
      <c r="X49" s="57" t="str">
        <f>IF('Interfaccia di selezione'!$K$5=0,"Vite",IF('Interfaccia di selezione'!$K$5=1,"Screw"))</f>
        <v>Vite</v>
      </c>
      <c r="Y49" s="57">
        <v>4</v>
      </c>
      <c r="Z49" s="57">
        <v>1845</v>
      </c>
      <c r="AA49" s="57">
        <v>685</v>
      </c>
      <c r="AB49" s="57">
        <v>836</v>
      </c>
      <c r="AC49" s="57">
        <v>1348</v>
      </c>
      <c r="AD49" s="59">
        <v>283</v>
      </c>
      <c r="AE49" s="59">
        <v>436</v>
      </c>
      <c r="AF49" s="59">
        <v>1364</v>
      </c>
      <c r="AG49" s="59" t="s">
        <v>1549</v>
      </c>
      <c r="AH49" s="59">
        <v>26</v>
      </c>
      <c r="AI49" s="59">
        <v>20.5</v>
      </c>
      <c r="AJ49" s="59">
        <v>30</v>
      </c>
      <c r="AK49" s="60">
        <v>620</v>
      </c>
      <c r="AM49" s="57" t="s">
        <v>354</v>
      </c>
    </row>
    <row r="50" spans="1:39" ht="15" thickBot="1" x14ac:dyDescent="0.35">
      <c r="A50" s="73"/>
      <c r="V50" s="67"/>
      <c r="W50" s="67"/>
      <c r="X50" s="67"/>
      <c r="Y50" s="67"/>
      <c r="Z50" s="67"/>
      <c r="AA50" s="67"/>
      <c r="AB50" s="67"/>
      <c r="AC50" s="67"/>
      <c r="AD50" s="68"/>
      <c r="AE50" s="68"/>
      <c r="AF50" s="68"/>
      <c r="AG50" s="69"/>
      <c r="AH50" s="69"/>
      <c r="AI50" s="69"/>
      <c r="AJ50" s="69"/>
      <c r="AK50" s="70"/>
    </row>
    <row r="51" spans="1:39" ht="72" x14ac:dyDescent="0.3">
      <c r="A51" s="73"/>
      <c r="U51" s="163" t="s">
        <v>531</v>
      </c>
      <c r="V51" s="163" t="s">
        <v>283</v>
      </c>
      <c r="W51" s="163" t="s">
        <v>362</v>
      </c>
      <c r="X51" s="163" t="s">
        <v>363</v>
      </c>
      <c r="Y51" s="163" t="s">
        <v>364</v>
      </c>
      <c r="Z51" s="163" t="s">
        <v>365</v>
      </c>
      <c r="AA51" s="163" t="s">
        <v>366</v>
      </c>
      <c r="AB51" s="163" t="s">
        <v>367</v>
      </c>
      <c r="AC51" s="163" t="s">
        <v>368</v>
      </c>
      <c r="AD51" s="163" t="s">
        <v>369</v>
      </c>
      <c r="AE51" s="163" t="s">
        <v>370</v>
      </c>
      <c r="AF51" s="163" t="s">
        <v>371</v>
      </c>
      <c r="AG51" s="69"/>
      <c r="AH51" s="69"/>
      <c r="AI51" s="69"/>
      <c r="AJ51" s="69"/>
      <c r="AK51" s="70"/>
    </row>
    <row r="52" spans="1:39" ht="15" thickBot="1" x14ac:dyDescent="0.35">
      <c r="A52" s="73"/>
      <c r="V52" s="67"/>
      <c r="W52" s="67"/>
      <c r="X52" s="67"/>
      <c r="Y52" s="67"/>
      <c r="Z52" s="67"/>
      <c r="AA52" s="67"/>
      <c r="AB52" s="67"/>
      <c r="AC52" s="67"/>
      <c r="AD52" s="68"/>
      <c r="AE52" s="68"/>
      <c r="AF52" s="68"/>
      <c r="AG52" s="69"/>
      <c r="AH52" s="69"/>
      <c r="AI52" s="69"/>
      <c r="AJ52" s="69"/>
      <c r="AK52" s="70"/>
    </row>
    <row r="53" spans="1:39" ht="35.25" customHeight="1" x14ac:dyDescent="0.3">
      <c r="A53" s="73"/>
      <c r="U53" s="163" t="s">
        <v>530</v>
      </c>
      <c r="V53" s="163" t="s">
        <v>283</v>
      </c>
      <c r="W53" s="163" t="s">
        <v>280</v>
      </c>
      <c r="X53" s="163" t="s">
        <v>281</v>
      </c>
      <c r="Y53" s="163" t="s">
        <v>282</v>
      </c>
      <c r="Z53" s="163" t="s">
        <v>284</v>
      </c>
      <c r="AA53" s="163" t="s">
        <v>285</v>
      </c>
      <c r="AB53" s="163" t="s">
        <v>286</v>
      </c>
      <c r="AC53" s="163" t="s">
        <v>287</v>
      </c>
      <c r="AD53" s="163" t="s">
        <v>288</v>
      </c>
      <c r="AE53" s="163" t="s">
        <v>289</v>
      </c>
      <c r="AF53" s="163" t="s">
        <v>290</v>
      </c>
    </row>
    <row r="54" spans="1:39" ht="15.6" x14ac:dyDescent="0.3">
      <c r="A54" s="73"/>
      <c r="U54" s="1" t="s">
        <v>277</v>
      </c>
      <c r="V54" s="62" t="s">
        <v>277</v>
      </c>
      <c r="W54" s="61">
        <v>68</v>
      </c>
      <c r="X54" s="61">
        <v>12.4</v>
      </c>
      <c r="Y54" s="61">
        <v>181</v>
      </c>
      <c r="Z54" s="61">
        <v>-40</v>
      </c>
      <c r="AA54" s="61">
        <v>215</v>
      </c>
      <c r="AB54" s="61">
        <v>0.99199999999999999</v>
      </c>
      <c r="AC54" s="61">
        <v>300</v>
      </c>
      <c r="AD54" s="61">
        <v>0.02</v>
      </c>
      <c r="AE54" s="61">
        <v>16</v>
      </c>
      <c r="AF54" s="61">
        <v>95</v>
      </c>
    </row>
    <row r="55" spans="1:39" ht="15.6" x14ac:dyDescent="0.3">
      <c r="A55" s="73"/>
      <c r="U55" s="1" t="s">
        <v>278</v>
      </c>
      <c r="V55" s="62" t="s">
        <v>278</v>
      </c>
      <c r="W55" s="63">
        <v>150</v>
      </c>
      <c r="X55" s="63">
        <v>25</v>
      </c>
      <c r="Y55" s="63">
        <v>200</v>
      </c>
      <c r="Z55" s="63">
        <v>-40</v>
      </c>
      <c r="AA55" s="63">
        <v>230</v>
      </c>
      <c r="AB55" s="63">
        <v>1.0049999999999999</v>
      </c>
      <c r="AC55" s="63">
        <v>300</v>
      </c>
      <c r="AD55" s="63">
        <v>0.02</v>
      </c>
      <c r="AE55" s="63">
        <v>18</v>
      </c>
      <c r="AF55" s="63">
        <v>95</v>
      </c>
    </row>
    <row r="56" spans="1:39" x14ac:dyDescent="0.3">
      <c r="A56" s="73"/>
    </row>
    <row r="57" spans="1:39" s="75" customFormat="1" ht="15" thickBot="1" x14ac:dyDescent="0.35">
      <c r="A57" s="74"/>
    </row>
    <row r="58" spans="1:39" ht="15" thickBot="1" x14ac:dyDescent="0.35"/>
    <row r="59" spans="1:39" ht="68.25" customHeight="1" x14ac:dyDescent="0.3">
      <c r="B59" s="185" t="str">
        <f>IF('Interfaccia di selezione'!$K$5=0,Tabelle!K62,IF('Interfaccia di selezione'!$K$5=1,Tabelle!K59))</f>
        <v>MODELLO</v>
      </c>
      <c r="C59" s="260" t="str">
        <f>IF('Interfaccia di selezione'!$K$5=0,Tabelle!L62,IF('Interfaccia di selezione'!$K$5=1,Tabelle!L59))</f>
        <v>CARICA REFRIGERANTE [kg]</v>
      </c>
      <c r="D59" s="260"/>
      <c r="E59" s="260" t="str">
        <f>IF('Interfaccia di selezione'!$K$5=0,Tabelle!M62,IF('Interfaccia di selezione'!$K$5=1,Tabelle!M59))</f>
        <v>PORTATA VENTILAZIONE D'EMERGENZA [m^3/h]</v>
      </c>
      <c r="F59" s="260"/>
      <c r="K59" s="224" t="s">
        <v>104</v>
      </c>
      <c r="L59" s="226" t="s">
        <v>105</v>
      </c>
      <c r="M59" s="226" t="s">
        <v>852</v>
      </c>
    </row>
    <row r="60" spans="1:39" ht="30.75" customHeight="1" thickBot="1" x14ac:dyDescent="0.35">
      <c r="B60" s="1" t="str">
        <f>IF('Interfaccia di selezione'!$J$5=0,VLOOKUP('Interfaccia di selezione'!$I$5,'Interfaccia di selezione'!$BB$9:$BD$36,2),IF('Interfaccia di selezione'!$J$5=1,VLOOKUP('Interfaccia di selezione'!$I$5,'Interfaccia di selezione'!$BB$9:$BD$36,3), FALSE))</f>
        <v>RT60 W</v>
      </c>
      <c r="C60" s="261">
        <f>IF('Interfaccia di selezione'!$J$5=1,VLOOKUP('Interfaccia di selezione'!$I$5,$N$64:$Q$91,3),VLOOKUP('Interfaccia di selezione'!$I$5,$J$64:$M$91,3))</f>
        <v>5.7</v>
      </c>
      <c r="D60" s="261"/>
      <c r="E60" s="262">
        <f>IF('Interfaccia di selezione'!$J$5=1,VLOOKUP('Interfaccia di selezione'!$I$5,$N$64:$Q$91,4),VLOOKUP('Interfaccia di selezione'!$I$5,$J$64:$M$91,4))</f>
        <v>160.80000000000001</v>
      </c>
      <c r="F60" s="262"/>
      <c r="K60" s="225"/>
      <c r="L60" s="227"/>
      <c r="M60" s="229"/>
    </row>
    <row r="61" spans="1:39" ht="18.75" customHeight="1" thickBot="1" x14ac:dyDescent="0.35"/>
    <row r="62" spans="1:39" ht="32.25" customHeight="1" x14ac:dyDescent="0.3">
      <c r="J62" s="131"/>
      <c r="K62" s="224" t="s">
        <v>53</v>
      </c>
      <c r="L62" s="226" t="s">
        <v>54</v>
      </c>
      <c r="M62" s="226" t="s">
        <v>851</v>
      </c>
      <c r="N62" s="131"/>
      <c r="O62" s="224" t="s">
        <v>53</v>
      </c>
      <c r="P62" s="226" t="s">
        <v>54</v>
      </c>
      <c r="Q62" s="226" t="s">
        <v>850</v>
      </c>
    </row>
    <row r="63" spans="1:39" ht="15" thickBot="1" x14ac:dyDescent="0.35">
      <c r="J63" s="134"/>
      <c r="K63" s="225"/>
      <c r="L63" s="227"/>
      <c r="M63" s="229"/>
      <c r="N63" s="134"/>
      <c r="O63" s="225"/>
      <c r="P63" s="227"/>
      <c r="Q63" s="229"/>
    </row>
    <row r="64" spans="1:39" ht="15.6" x14ac:dyDescent="0.3">
      <c r="J64" s="19">
        <v>1</v>
      </c>
      <c r="K64" s="1" t="s">
        <v>13</v>
      </c>
      <c r="L64" s="10">
        <v>0.8</v>
      </c>
      <c r="M64" s="166">
        <v>43.4</v>
      </c>
      <c r="N64" s="164">
        <v>1</v>
      </c>
      <c r="O64" s="1" t="s">
        <v>55</v>
      </c>
      <c r="P64" s="10">
        <v>1.2</v>
      </c>
      <c r="Q64" s="144">
        <v>56.9</v>
      </c>
      <c r="S64" s="151"/>
      <c r="T64" s="151"/>
    </row>
    <row r="65" spans="10:20" ht="15.6" x14ac:dyDescent="0.3">
      <c r="J65" s="19">
        <v>2</v>
      </c>
      <c r="K65" s="1" t="s">
        <v>14</v>
      </c>
      <c r="L65" s="10">
        <v>0.8</v>
      </c>
      <c r="M65" s="166">
        <v>43.4</v>
      </c>
      <c r="N65" s="164">
        <v>2</v>
      </c>
      <c r="O65" s="1" t="s">
        <v>56</v>
      </c>
      <c r="P65" s="10">
        <v>1.2</v>
      </c>
      <c r="Q65" s="144">
        <v>56.9</v>
      </c>
      <c r="S65" s="151"/>
      <c r="T65" s="151"/>
    </row>
    <row r="66" spans="10:20" ht="15.6" x14ac:dyDescent="0.3">
      <c r="J66" s="19">
        <v>3</v>
      </c>
      <c r="K66" s="1" t="s">
        <v>15</v>
      </c>
      <c r="L66" s="10">
        <v>0.8</v>
      </c>
      <c r="M66" s="166">
        <v>43.4</v>
      </c>
      <c r="N66" s="164">
        <v>3</v>
      </c>
      <c r="O66" s="1" t="s">
        <v>57</v>
      </c>
      <c r="P66" s="10">
        <v>1.2</v>
      </c>
      <c r="Q66" s="144">
        <v>56.9</v>
      </c>
      <c r="S66" s="151"/>
      <c r="T66" s="151"/>
    </row>
    <row r="67" spans="10:20" ht="15.6" x14ac:dyDescent="0.3">
      <c r="J67" s="19">
        <v>4</v>
      </c>
      <c r="K67" s="1" t="s">
        <v>16</v>
      </c>
      <c r="L67" s="10">
        <v>2.5</v>
      </c>
      <c r="M67" s="166">
        <v>92.8</v>
      </c>
      <c r="N67" s="164">
        <v>4</v>
      </c>
      <c r="O67" s="1" t="s">
        <v>58</v>
      </c>
      <c r="P67" s="10">
        <v>3.1</v>
      </c>
      <c r="Q67" s="144">
        <v>107.1</v>
      </c>
      <c r="S67" s="151"/>
      <c r="T67" s="151"/>
    </row>
    <row r="68" spans="10:20" ht="15.6" x14ac:dyDescent="0.3">
      <c r="J68" s="19">
        <v>5</v>
      </c>
      <c r="K68" s="1" t="s">
        <v>17</v>
      </c>
      <c r="L68" s="10">
        <v>2.5</v>
      </c>
      <c r="M68" s="166">
        <v>92.8</v>
      </c>
      <c r="N68" s="164">
        <v>5</v>
      </c>
      <c r="O68" s="1" t="s">
        <v>59</v>
      </c>
      <c r="P68" s="10">
        <v>3.1</v>
      </c>
      <c r="Q68" s="144">
        <v>107.1</v>
      </c>
      <c r="S68" s="151"/>
      <c r="T68" s="151"/>
    </row>
    <row r="69" spans="10:20" ht="15.6" x14ac:dyDescent="0.3">
      <c r="J69" s="19">
        <v>6</v>
      </c>
      <c r="K69" s="1" t="s">
        <v>18</v>
      </c>
      <c r="L69" s="10">
        <v>2.5</v>
      </c>
      <c r="M69" s="166">
        <v>92.8</v>
      </c>
      <c r="N69" s="164">
        <v>6</v>
      </c>
      <c r="O69" s="1" t="s">
        <v>60</v>
      </c>
      <c r="P69" s="10">
        <v>3.1</v>
      </c>
      <c r="Q69" s="144">
        <v>107.1</v>
      </c>
      <c r="S69" s="151"/>
      <c r="T69" s="151"/>
    </row>
    <row r="70" spans="10:20" ht="15.6" x14ac:dyDescent="0.3">
      <c r="J70" s="19">
        <v>7</v>
      </c>
      <c r="K70" s="1" t="s">
        <v>19</v>
      </c>
      <c r="L70" s="10">
        <v>5.0999999999999996</v>
      </c>
      <c r="M70" s="166">
        <v>149.30000000000001</v>
      </c>
      <c r="N70" s="164">
        <v>7</v>
      </c>
      <c r="O70" s="1" t="s">
        <v>61</v>
      </c>
      <c r="P70" s="10">
        <v>6.1</v>
      </c>
      <c r="Q70" s="144">
        <v>168.2</v>
      </c>
      <c r="S70" s="151"/>
      <c r="T70" s="151"/>
    </row>
    <row r="71" spans="10:20" ht="15.6" x14ac:dyDescent="0.3">
      <c r="J71" s="19">
        <v>8</v>
      </c>
      <c r="K71" s="1" t="s">
        <v>20</v>
      </c>
      <c r="L71" s="10">
        <v>4.5</v>
      </c>
      <c r="M71" s="166">
        <v>137.30000000000001</v>
      </c>
      <c r="N71" s="164">
        <v>8</v>
      </c>
      <c r="O71" s="1" t="s">
        <v>62</v>
      </c>
      <c r="P71" s="10">
        <v>5.7</v>
      </c>
      <c r="Q71" s="144">
        <v>160.80000000000001</v>
      </c>
      <c r="S71" s="151"/>
      <c r="T71" s="151"/>
    </row>
    <row r="72" spans="10:20" ht="15.6" x14ac:dyDescent="0.3">
      <c r="J72" s="19">
        <v>9</v>
      </c>
      <c r="K72" s="1" t="s">
        <v>21</v>
      </c>
      <c r="L72" s="10">
        <v>4.5</v>
      </c>
      <c r="M72" s="166">
        <v>137.30000000000001</v>
      </c>
      <c r="N72" s="164">
        <v>9</v>
      </c>
      <c r="O72" s="1" t="s">
        <v>63</v>
      </c>
      <c r="P72" s="10">
        <v>5.7</v>
      </c>
      <c r="Q72" s="144">
        <v>160.80000000000001</v>
      </c>
      <c r="S72" s="151"/>
      <c r="T72" s="151"/>
    </row>
    <row r="73" spans="10:20" ht="15.6" x14ac:dyDescent="0.3">
      <c r="J73" s="19">
        <v>10</v>
      </c>
      <c r="K73" s="1" t="s">
        <v>22</v>
      </c>
      <c r="L73" s="10">
        <v>4.5</v>
      </c>
      <c r="M73" s="166">
        <v>137.30000000000001</v>
      </c>
      <c r="N73" s="164">
        <v>10</v>
      </c>
      <c r="O73" s="1" t="s">
        <v>64</v>
      </c>
      <c r="P73" s="10">
        <v>5.7</v>
      </c>
      <c r="Q73" s="144">
        <v>160.80000000000001</v>
      </c>
      <c r="S73" s="151"/>
      <c r="T73" s="151"/>
    </row>
    <row r="74" spans="10:20" ht="15" customHeight="1" x14ac:dyDescent="0.3">
      <c r="J74" s="19">
        <v>11</v>
      </c>
      <c r="K74" s="1" t="s">
        <v>23</v>
      </c>
      <c r="L74" s="11" t="s">
        <v>154</v>
      </c>
      <c r="M74" s="166">
        <v>107.1</v>
      </c>
      <c r="N74" s="164">
        <v>11</v>
      </c>
      <c r="O74" s="1" t="s">
        <v>65</v>
      </c>
      <c r="P74" s="11" t="s">
        <v>154</v>
      </c>
      <c r="Q74" s="144">
        <v>107.1</v>
      </c>
      <c r="S74" s="151"/>
      <c r="T74" s="151"/>
    </row>
    <row r="75" spans="10:20" ht="15.6" x14ac:dyDescent="0.3">
      <c r="J75" s="19">
        <v>12</v>
      </c>
      <c r="K75" s="1" t="s">
        <v>24</v>
      </c>
      <c r="L75" s="10">
        <v>6.5</v>
      </c>
      <c r="M75" s="166">
        <v>175.5</v>
      </c>
      <c r="N75" s="164">
        <v>12</v>
      </c>
      <c r="O75" s="1" t="s">
        <v>66</v>
      </c>
      <c r="P75" s="10">
        <v>9.1</v>
      </c>
      <c r="Q75" s="144">
        <v>219.6</v>
      </c>
      <c r="S75" s="151"/>
      <c r="T75" s="151"/>
    </row>
    <row r="76" spans="10:20" ht="15.6" x14ac:dyDescent="0.3">
      <c r="J76" s="19">
        <v>13</v>
      </c>
      <c r="K76" s="1" t="s">
        <v>25</v>
      </c>
      <c r="L76" s="10">
        <v>6.5</v>
      </c>
      <c r="M76" s="166">
        <v>175.5</v>
      </c>
      <c r="N76" s="164">
        <v>13</v>
      </c>
      <c r="O76" s="1" t="s">
        <v>67</v>
      </c>
      <c r="P76" s="10">
        <v>9.1</v>
      </c>
      <c r="Q76" s="144">
        <v>219.6</v>
      </c>
      <c r="S76" s="151"/>
      <c r="T76" s="151"/>
    </row>
    <row r="77" spans="10:20" ht="15.6" x14ac:dyDescent="0.3">
      <c r="J77" s="19">
        <v>14</v>
      </c>
      <c r="K77" s="1" t="s">
        <v>26</v>
      </c>
      <c r="L77" s="10">
        <v>6.5</v>
      </c>
      <c r="M77" s="166">
        <v>175.5</v>
      </c>
      <c r="N77" s="164">
        <v>14</v>
      </c>
      <c r="O77" s="1" t="s">
        <v>68</v>
      </c>
      <c r="P77" s="10">
        <v>11.3</v>
      </c>
      <c r="Q77" s="144">
        <v>253.7</v>
      </c>
      <c r="S77" s="151"/>
      <c r="T77" s="151"/>
    </row>
    <row r="78" spans="10:20" ht="28.8" x14ac:dyDescent="0.3">
      <c r="J78" s="19">
        <v>15</v>
      </c>
      <c r="K78" s="1" t="s">
        <v>50</v>
      </c>
      <c r="L78" s="11" t="s">
        <v>153</v>
      </c>
      <c r="M78" s="166">
        <v>255.2</v>
      </c>
      <c r="N78" s="164">
        <v>15</v>
      </c>
      <c r="O78" s="1" t="s">
        <v>69</v>
      </c>
      <c r="P78" s="11" t="s">
        <v>153</v>
      </c>
      <c r="Q78" s="144">
        <v>255.2</v>
      </c>
      <c r="S78" s="151"/>
      <c r="T78" s="151"/>
    </row>
    <row r="79" spans="10:20" ht="15.6" x14ac:dyDescent="0.3">
      <c r="J79" s="19">
        <v>16</v>
      </c>
      <c r="K79" s="1" t="s">
        <v>138</v>
      </c>
      <c r="L79" s="14">
        <v>10</v>
      </c>
      <c r="M79" s="166">
        <v>233.9</v>
      </c>
      <c r="N79" s="164">
        <v>16</v>
      </c>
      <c r="O79" s="1" t="s">
        <v>141</v>
      </c>
      <c r="P79" s="14">
        <v>12.1</v>
      </c>
      <c r="Q79" s="144">
        <v>265.60000000000002</v>
      </c>
      <c r="S79" s="151"/>
      <c r="T79" s="151"/>
    </row>
    <row r="80" spans="10:20" ht="15.6" x14ac:dyDescent="0.3">
      <c r="J80" s="19">
        <v>17</v>
      </c>
      <c r="K80" s="1" t="s">
        <v>139</v>
      </c>
      <c r="L80" s="14">
        <v>15</v>
      </c>
      <c r="M80" s="166">
        <v>306.5</v>
      </c>
      <c r="N80" s="164">
        <v>17</v>
      </c>
      <c r="O80" s="1" t="s">
        <v>86</v>
      </c>
      <c r="P80" s="14">
        <v>15</v>
      </c>
      <c r="Q80" s="144">
        <v>306.5</v>
      </c>
      <c r="S80" s="151"/>
      <c r="T80" s="151"/>
    </row>
    <row r="81" spans="1:20" ht="15.6" x14ac:dyDescent="0.3">
      <c r="J81" s="19">
        <v>18</v>
      </c>
      <c r="K81" s="1" t="s">
        <v>75</v>
      </c>
      <c r="L81" s="14">
        <v>15</v>
      </c>
      <c r="M81" s="166">
        <v>306.5</v>
      </c>
      <c r="N81" s="164">
        <v>18</v>
      </c>
      <c r="O81" s="1" t="s">
        <v>87</v>
      </c>
      <c r="P81" s="14">
        <v>15</v>
      </c>
      <c r="Q81" s="144">
        <v>306.5</v>
      </c>
      <c r="S81" s="151"/>
      <c r="T81" s="151"/>
    </row>
    <row r="82" spans="1:20" ht="15" customHeight="1" x14ac:dyDescent="0.3">
      <c r="J82" s="19">
        <v>19</v>
      </c>
      <c r="K82" s="1" t="s">
        <v>140</v>
      </c>
      <c r="L82" s="14">
        <v>15</v>
      </c>
      <c r="M82" s="166">
        <v>306.5</v>
      </c>
      <c r="N82" s="164">
        <v>19</v>
      </c>
      <c r="O82" s="1" t="s">
        <v>88</v>
      </c>
      <c r="P82" s="14">
        <v>15</v>
      </c>
      <c r="Q82" s="144">
        <v>306.5</v>
      </c>
      <c r="S82" s="151"/>
      <c r="T82" s="151"/>
    </row>
    <row r="83" spans="1:20" ht="15.6" x14ac:dyDescent="0.3">
      <c r="J83" s="19">
        <v>20</v>
      </c>
      <c r="K83" s="1" t="s">
        <v>51</v>
      </c>
      <c r="L83" s="33">
        <v>49</v>
      </c>
      <c r="M83" s="166">
        <v>674.8</v>
      </c>
      <c r="N83" s="164">
        <v>20</v>
      </c>
      <c r="O83" s="1" t="s">
        <v>70</v>
      </c>
      <c r="P83" s="33">
        <v>65</v>
      </c>
      <c r="Q83" s="144">
        <v>814.7</v>
      </c>
      <c r="S83" s="151"/>
      <c r="T83" s="151"/>
    </row>
    <row r="84" spans="1:20" ht="15.6" x14ac:dyDescent="0.3">
      <c r="J84" s="19">
        <v>21</v>
      </c>
      <c r="K84" s="1" t="s">
        <v>77</v>
      </c>
      <c r="L84" s="14">
        <v>24</v>
      </c>
      <c r="M84" s="166">
        <v>419.3</v>
      </c>
      <c r="N84" s="164">
        <v>21</v>
      </c>
      <c r="O84" s="1" t="s">
        <v>89</v>
      </c>
      <c r="P84" s="14">
        <v>24</v>
      </c>
      <c r="Q84" s="144">
        <v>419.3</v>
      </c>
      <c r="S84" s="151"/>
      <c r="T84" s="151"/>
    </row>
    <row r="85" spans="1:20" ht="15.6" x14ac:dyDescent="0.3">
      <c r="J85" s="19">
        <v>22</v>
      </c>
      <c r="K85" s="1" t="s">
        <v>78</v>
      </c>
      <c r="L85" s="14">
        <v>24</v>
      </c>
      <c r="M85" s="166">
        <v>419.3</v>
      </c>
      <c r="N85" s="164">
        <v>22</v>
      </c>
      <c r="O85" s="1" t="s">
        <v>90</v>
      </c>
      <c r="P85" s="14">
        <v>24</v>
      </c>
      <c r="Q85" s="144">
        <v>419.3</v>
      </c>
      <c r="S85" s="151"/>
      <c r="T85" s="151"/>
    </row>
    <row r="86" spans="1:20" ht="15.6" x14ac:dyDescent="0.3">
      <c r="J86" s="19">
        <v>23</v>
      </c>
      <c r="K86" s="1" t="s">
        <v>79</v>
      </c>
      <c r="L86" s="14">
        <v>24</v>
      </c>
      <c r="M86" s="166">
        <v>419.3</v>
      </c>
      <c r="N86" s="164">
        <v>23</v>
      </c>
      <c r="O86" s="1" t="s">
        <v>91</v>
      </c>
      <c r="P86" s="14">
        <v>24</v>
      </c>
      <c r="Q86" s="144">
        <v>419.3</v>
      </c>
      <c r="S86" s="151"/>
      <c r="T86" s="151"/>
    </row>
    <row r="87" spans="1:20" ht="15.6" x14ac:dyDescent="0.3">
      <c r="J87" s="19">
        <v>24</v>
      </c>
      <c r="K87" s="1" t="s">
        <v>80</v>
      </c>
      <c r="L87" s="33">
        <v>51</v>
      </c>
      <c r="M87" s="166">
        <v>693.1</v>
      </c>
      <c r="N87" s="164">
        <v>24</v>
      </c>
      <c r="O87" s="1" t="s">
        <v>92</v>
      </c>
      <c r="P87" s="33">
        <v>65</v>
      </c>
      <c r="Q87" s="144">
        <v>814.7</v>
      </c>
      <c r="S87" s="151"/>
      <c r="T87" s="151"/>
    </row>
    <row r="88" spans="1:20" ht="28.8" x14ac:dyDescent="0.3">
      <c r="J88" s="19">
        <v>25</v>
      </c>
      <c r="K88" s="1" t="s">
        <v>81</v>
      </c>
      <c r="L88" s="11" t="s">
        <v>1491</v>
      </c>
      <c r="M88" s="166">
        <v>831.4</v>
      </c>
      <c r="N88" s="164">
        <v>25</v>
      </c>
      <c r="O88" s="1" t="s">
        <v>93</v>
      </c>
      <c r="P88" s="11" t="s">
        <v>1491</v>
      </c>
      <c r="Q88" s="144">
        <v>831.4</v>
      </c>
      <c r="S88" s="151"/>
      <c r="T88" s="151"/>
    </row>
    <row r="89" spans="1:20" ht="15.6" x14ac:dyDescent="0.3">
      <c r="J89" s="19">
        <v>26</v>
      </c>
      <c r="K89" s="1" t="s">
        <v>82</v>
      </c>
      <c r="L89" s="14">
        <v>48</v>
      </c>
      <c r="M89" s="166">
        <v>665.6</v>
      </c>
      <c r="N89" s="164">
        <v>26</v>
      </c>
      <c r="O89" s="1" t="s">
        <v>94</v>
      </c>
      <c r="P89" s="14">
        <v>48</v>
      </c>
      <c r="Q89" s="144">
        <v>665.6</v>
      </c>
      <c r="S89" s="151"/>
      <c r="T89" s="151"/>
    </row>
    <row r="90" spans="1:20" ht="15.6" x14ac:dyDescent="0.3">
      <c r="J90" s="19">
        <v>27</v>
      </c>
      <c r="K90" s="1" t="s">
        <v>83</v>
      </c>
      <c r="L90" s="14">
        <v>48</v>
      </c>
      <c r="M90" s="166">
        <v>665.6</v>
      </c>
      <c r="N90" s="164">
        <v>27</v>
      </c>
      <c r="O90" s="1" t="s">
        <v>95</v>
      </c>
      <c r="P90" s="14">
        <v>48</v>
      </c>
      <c r="Q90" s="144">
        <v>665.6</v>
      </c>
      <c r="S90" s="151"/>
      <c r="T90" s="151"/>
    </row>
    <row r="91" spans="1:20" ht="16.2" thickBot="1" x14ac:dyDescent="0.35">
      <c r="J91" s="31">
        <v>28</v>
      </c>
      <c r="K91" s="142" t="s">
        <v>84</v>
      </c>
      <c r="L91" s="143">
        <v>48</v>
      </c>
      <c r="M91" s="166">
        <v>665.6</v>
      </c>
      <c r="N91" s="165">
        <v>28</v>
      </c>
      <c r="O91" s="142" t="s">
        <v>96</v>
      </c>
      <c r="P91" s="143">
        <v>48</v>
      </c>
      <c r="Q91" s="144">
        <v>665.6</v>
      </c>
      <c r="S91" s="151"/>
      <c r="T91" s="151"/>
    </row>
    <row r="92" spans="1:20" ht="16.2" thickBot="1" x14ac:dyDescent="0.35">
      <c r="J92" s="31">
        <v>29</v>
      </c>
      <c r="K92" s="142" t="s">
        <v>1554</v>
      </c>
      <c r="L92" s="192">
        <v>96</v>
      </c>
      <c r="M92" s="195"/>
      <c r="N92" s="194">
        <v>29</v>
      </c>
      <c r="O92" s="142"/>
      <c r="P92" s="192"/>
      <c r="Q92" s="193"/>
      <c r="S92" s="151"/>
      <c r="T92" s="151"/>
    </row>
    <row r="93" spans="1:20" ht="15" thickBot="1" x14ac:dyDescent="0.35"/>
    <row r="94" spans="1:20" s="132" customFormat="1" x14ac:dyDescent="0.3">
      <c r="A94" s="131"/>
    </row>
    <row r="95" spans="1:20" x14ac:dyDescent="0.3">
      <c r="A95" s="134"/>
      <c r="B95" s="228" t="str">
        <f>IF('Interfaccia di selezione'!$K$5=0,K99,IF('Interfaccia di selezione'!$K$5=1,K95))</f>
        <v>Modello</v>
      </c>
      <c r="C95" s="246" t="str">
        <f>IF('Interfaccia di selezione'!$K$5=0,L99,IF('Interfaccia di selezione'!$K$5=1,L95))</f>
        <v>IMBALLATA</v>
      </c>
      <c r="D95" s="247"/>
      <c r="E95" s="248"/>
      <c r="F95" s="228" t="str">
        <f>IF('Interfaccia di selezione'!$K$5=0,O99,IF('Interfaccia di selezione'!$K$5=1,O95))</f>
        <v>DISIMBALLATA</v>
      </c>
      <c r="G95" s="228"/>
      <c r="H95" s="228"/>
      <c r="K95" s="228" t="s">
        <v>97</v>
      </c>
      <c r="L95" s="228" t="s">
        <v>98</v>
      </c>
      <c r="M95" s="228"/>
      <c r="N95" s="228"/>
      <c r="O95" s="228" t="s">
        <v>99</v>
      </c>
      <c r="P95" s="228"/>
      <c r="Q95" s="228"/>
    </row>
    <row r="96" spans="1:20" x14ac:dyDescent="0.3">
      <c r="A96" s="134"/>
      <c r="B96" s="228"/>
      <c r="C96" s="175" t="str">
        <f>IF('Interfaccia di selezione'!$K$5=0,L100,IF('Interfaccia di selezione'!$K$5=1,L96))</f>
        <v>Larghezza</v>
      </c>
      <c r="D96" s="175" t="str">
        <f>IF('Interfaccia di selezione'!$K$5=0,M100,IF('Interfaccia di selezione'!$K$5=1,M96))</f>
        <v>Profondità</v>
      </c>
      <c r="E96" s="175" t="str">
        <f>IF('Interfaccia di selezione'!$K$5=0,N100,IF('Interfaccia di selezione'!$K$5=1,N96))</f>
        <v>Altezza</v>
      </c>
      <c r="F96" s="175" t="str">
        <f>IF('Interfaccia di selezione'!$K$5=0,O100,IF('Interfaccia di selezione'!$K$5=1,O96))</f>
        <v>Larghezza</v>
      </c>
      <c r="G96" s="175" t="str">
        <f>IF('Interfaccia di selezione'!$K$5=0,P100,IF('Interfaccia di selezione'!$K$5=1,P96))</f>
        <v>Profondità</v>
      </c>
      <c r="H96" s="175" t="str">
        <f>IF('Interfaccia di selezione'!$K$5=0,Q100,IF('Interfaccia di selezione'!$K$5=1,Q96))</f>
        <v>Altezza (*)</v>
      </c>
      <c r="K96" s="228"/>
      <c r="L96" s="175" t="s">
        <v>100</v>
      </c>
      <c r="M96" s="175" t="s">
        <v>101</v>
      </c>
      <c r="N96" s="175" t="s">
        <v>102</v>
      </c>
      <c r="O96" s="175" t="s">
        <v>100</v>
      </c>
      <c r="P96" s="175" t="s">
        <v>101</v>
      </c>
      <c r="Q96" s="175" t="s">
        <v>103</v>
      </c>
    </row>
    <row r="97" spans="1:17" x14ac:dyDescent="0.3">
      <c r="A97" s="134"/>
      <c r="B97" s="228"/>
      <c r="C97" s="175" t="s">
        <v>9</v>
      </c>
      <c r="D97" s="175" t="s">
        <v>9</v>
      </c>
      <c r="E97" s="175" t="s">
        <v>9</v>
      </c>
      <c r="F97" s="175" t="s">
        <v>9</v>
      </c>
      <c r="G97" s="175" t="s">
        <v>9</v>
      </c>
      <c r="H97" s="175" t="s">
        <v>9</v>
      </c>
      <c r="K97" s="228"/>
      <c r="L97" s="175" t="s">
        <v>9</v>
      </c>
      <c r="M97" s="175" t="s">
        <v>9</v>
      </c>
      <c r="N97" s="175" t="s">
        <v>9</v>
      </c>
      <c r="O97" s="175" t="s">
        <v>9</v>
      </c>
      <c r="P97" s="175" t="s">
        <v>9</v>
      </c>
      <c r="Q97" s="175" t="s">
        <v>9</v>
      </c>
    </row>
    <row r="98" spans="1:17" ht="15.6" x14ac:dyDescent="0.3">
      <c r="A98" s="134"/>
      <c r="B98" s="1" t="str">
        <f>IF('Interfaccia di selezione'!$J$5=0,VLOOKUP('Interfaccia di selezione'!$I$5,'Interfaccia di selezione'!$BB$9:$BD$36,2),IF('Interfaccia di selezione'!$J$5=1,VLOOKUP('Interfaccia di selezione'!$I$5,'Interfaccia di selezione'!$BB$9:$BD$36,3), FALSE))</f>
        <v>RT60 W</v>
      </c>
      <c r="C98" s="6">
        <f>VLOOKUP('Interfaccia di selezione'!$I$5,$J$102:$Q$129,3,FALSE)</f>
        <v>1260</v>
      </c>
      <c r="D98" s="6">
        <f>VLOOKUP('Interfaccia di selezione'!$I$5,$J$102:$Q$129,4,FALSE)</f>
        <v>960</v>
      </c>
      <c r="E98" s="6">
        <f>VLOOKUP('Interfaccia di selezione'!$I$5,$J$102:$Q$129,5,FALSE)</f>
        <v>2090</v>
      </c>
      <c r="F98" s="6">
        <f>VLOOKUP('Interfaccia di selezione'!$I$5,$J$102:$Q$129,6,FALSE)</f>
        <v>1148</v>
      </c>
      <c r="G98" s="6">
        <f>VLOOKUP('Interfaccia di selezione'!$I$5,$J$102:$Q$129,7,FALSE)</f>
        <v>746</v>
      </c>
      <c r="H98" s="6">
        <f>VLOOKUP('Interfaccia di selezione'!$I$5,$J$102:$Q$129,8,FALSE)</f>
        <v>1589</v>
      </c>
    </row>
    <row r="99" spans="1:17" x14ac:dyDescent="0.3">
      <c r="A99" s="134"/>
      <c r="K99" s="228" t="s">
        <v>2</v>
      </c>
      <c r="L99" s="228" t="s">
        <v>3</v>
      </c>
      <c r="M99" s="228"/>
      <c r="N99" s="228"/>
      <c r="O99" s="228" t="s">
        <v>4</v>
      </c>
      <c r="P99" s="228"/>
      <c r="Q99" s="228"/>
    </row>
    <row r="100" spans="1:17" x14ac:dyDescent="0.3">
      <c r="A100" s="134"/>
      <c r="K100" s="228"/>
      <c r="L100" s="175" t="s">
        <v>5</v>
      </c>
      <c r="M100" s="175" t="s">
        <v>6</v>
      </c>
      <c r="N100" s="175" t="s">
        <v>7</v>
      </c>
      <c r="O100" s="175" t="s">
        <v>5</v>
      </c>
      <c r="P100" s="175" t="s">
        <v>6</v>
      </c>
      <c r="Q100" s="175" t="s">
        <v>8</v>
      </c>
    </row>
    <row r="101" spans="1:17" x14ac:dyDescent="0.3">
      <c r="A101" s="134"/>
      <c r="K101" s="228"/>
      <c r="L101" s="175" t="s">
        <v>9</v>
      </c>
      <c r="M101" s="175" t="s">
        <v>9</v>
      </c>
      <c r="N101" s="175" t="s">
        <v>9</v>
      </c>
      <c r="O101" s="175" t="s">
        <v>9</v>
      </c>
      <c r="P101" s="175" t="s">
        <v>9</v>
      </c>
      <c r="Q101" s="175" t="s">
        <v>9</v>
      </c>
    </row>
    <row r="102" spans="1:17" ht="15.6" x14ac:dyDescent="0.3">
      <c r="A102" s="134"/>
      <c r="J102" s="5">
        <v>1</v>
      </c>
      <c r="K102" s="1" t="s">
        <v>72</v>
      </c>
      <c r="L102" s="2">
        <v>870</v>
      </c>
      <c r="M102" s="2">
        <v>800</v>
      </c>
      <c r="N102" s="3">
        <v>1340</v>
      </c>
      <c r="O102" s="2">
        <v>670</v>
      </c>
      <c r="P102" s="2">
        <v>650</v>
      </c>
      <c r="Q102" s="3">
        <v>1105</v>
      </c>
    </row>
    <row r="103" spans="1:17" ht="15.6" x14ac:dyDescent="0.3">
      <c r="A103" s="134"/>
      <c r="J103" s="5">
        <v>2</v>
      </c>
      <c r="K103" s="1" t="s">
        <v>111</v>
      </c>
      <c r="L103" s="2">
        <v>870</v>
      </c>
      <c r="M103" s="2">
        <v>800</v>
      </c>
      <c r="N103" s="3">
        <v>1340</v>
      </c>
      <c r="O103" s="2">
        <v>670</v>
      </c>
      <c r="P103" s="2">
        <v>650</v>
      </c>
      <c r="Q103" s="3">
        <v>1105</v>
      </c>
    </row>
    <row r="104" spans="1:17" ht="16.5" customHeight="1" x14ac:dyDescent="0.3">
      <c r="A104" s="134"/>
      <c r="J104" s="5">
        <v>3</v>
      </c>
      <c r="K104" s="1" t="s">
        <v>112</v>
      </c>
      <c r="L104" s="2">
        <v>870</v>
      </c>
      <c r="M104" s="2">
        <v>800</v>
      </c>
      <c r="N104" s="3">
        <v>1340</v>
      </c>
      <c r="O104" s="2">
        <v>670</v>
      </c>
      <c r="P104" s="2">
        <v>650</v>
      </c>
      <c r="Q104" s="3">
        <v>1105</v>
      </c>
    </row>
    <row r="105" spans="1:17" ht="15.6" x14ac:dyDescent="0.3">
      <c r="A105" s="134"/>
      <c r="J105" s="5">
        <v>4</v>
      </c>
      <c r="K105" s="1" t="s">
        <v>113</v>
      </c>
      <c r="L105" s="3">
        <v>1150</v>
      </c>
      <c r="M105" s="2">
        <v>860</v>
      </c>
      <c r="N105" s="3">
        <v>1830</v>
      </c>
      <c r="O105" s="2">
        <v>945</v>
      </c>
      <c r="P105" s="2">
        <v>648</v>
      </c>
      <c r="Q105" s="3">
        <v>1384</v>
      </c>
    </row>
    <row r="106" spans="1:17" ht="15.6" x14ac:dyDescent="0.3">
      <c r="A106" s="134"/>
      <c r="J106" s="5">
        <v>5</v>
      </c>
      <c r="K106" s="1" t="s">
        <v>114</v>
      </c>
      <c r="L106" s="3">
        <v>1150</v>
      </c>
      <c r="M106" s="2">
        <v>860</v>
      </c>
      <c r="N106" s="3">
        <v>1830</v>
      </c>
      <c r="O106" s="2">
        <v>945</v>
      </c>
      <c r="P106" s="2">
        <v>648</v>
      </c>
      <c r="Q106" s="3">
        <v>1384</v>
      </c>
    </row>
    <row r="107" spans="1:17" ht="16.5" customHeight="1" x14ac:dyDescent="0.3">
      <c r="A107" s="134"/>
      <c r="J107" s="5">
        <v>6</v>
      </c>
      <c r="K107" s="1" t="s">
        <v>115</v>
      </c>
      <c r="L107" s="3">
        <v>1150</v>
      </c>
      <c r="M107" s="2">
        <v>860</v>
      </c>
      <c r="N107" s="3">
        <v>1830</v>
      </c>
      <c r="O107" s="2">
        <v>945</v>
      </c>
      <c r="P107" s="2">
        <v>648</v>
      </c>
      <c r="Q107" s="3">
        <v>1384</v>
      </c>
    </row>
    <row r="108" spans="1:17" ht="15.6" x14ac:dyDescent="0.3">
      <c r="A108" s="134"/>
      <c r="J108" s="5">
        <v>7</v>
      </c>
      <c r="K108" s="1" t="s">
        <v>116</v>
      </c>
      <c r="L108" s="3">
        <v>1260</v>
      </c>
      <c r="M108" s="2">
        <v>960</v>
      </c>
      <c r="N108" s="3">
        <v>2090</v>
      </c>
      <c r="O108" s="3">
        <v>1148</v>
      </c>
      <c r="P108" s="2">
        <v>746</v>
      </c>
      <c r="Q108" s="3">
        <v>1589</v>
      </c>
    </row>
    <row r="109" spans="1:17" ht="15.6" x14ac:dyDescent="0.3">
      <c r="A109" s="134"/>
      <c r="J109" s="5">
        <v>8</v>
      </c>
      <c r="K109" s="1" t="s">
        <v>117</v>
      </c>
      <c r="L109" s="3">
        <v>1260</v>
      </c>
      <c r="M109" s="2">
        <v>960</v>
      </c>
      <c r="N109" s="3">
        <v>2090</v>
      </c>
      <c r="O109" s="3">
        <v>1148</v>
      </c>
      <c r="P109" s="2">
        <v>746</v>
      </c>
      <c r="Q109" s="3">
        <v>1589</v>
      </c>
    </row>
    <row r="110" spans="1:17" ht="15.6" x14ac:dyDescent="0.3">
      <c r="A110" s="134"/>
      <c r="J110" s="5">
        <v>9</v>
      </c>
      <c r="K110" s="1" t="s">
        <v>118</v>
      </c>
      <c r="L110" s="3">
        <v>1260</v>
      </c>
      <c r="M110" s="2">
        <v>960</v>
      </c>
      <c r="N110" s="3">
        <v>2090</v>
      </c>
      <c r="O110" s="3">
        <v>1148</v>
      </c>
      <c r="P110" s="2">
        <v>746</v>
      </c>
      <c r="Q110" s="3">
        <v>1589</v>
      </c>
    </row>
    <row r="111" spans="1:17" ht="15.6" x14ac:dyDescent="0.3">
      <c r="A111" s="134"/>
      <c r="J111" s="5">
        <v>10</v>
      </c>
      <c r="K111" s="1" t="s">
        <v>119</v>
      </c>
      <c r="L111" s="3">
        <v>1260</v>
      </c>
      <c r="M111" s="2">
        <v>960</v>
      </c>
      <c r="N111" s="3">
        <v>2090</v>
      </c>
      <c r="O111" s="3">
        <v>1148</v>
      </c>
      <c r="P111" s="2">
        <v>746</v>
      </c>
      <c r="Q111" s="3">
        <v>1589</v>
      </c>
    </row>
    <row r="112" spans="1:17" ht="15.6" x14ac:dyDescent="0.3">
      <c r="A112" s="134"/>
      <c r="J112" s="5">
        <v>11</v>
      </c>
      <c r="K112" s="1" t="s">
        <v>120</v>
      </c>
      <c r="L112" s="3">
        <v>1600</v>
      </c>
      <c r="M112" s="3">
        <v>1000</v>
      </c>
      <c r="N112" s="3">
        <v>1900</v>
      </c>
      <c r="O112" s="3">
        <v>1448</v>
      </c>
      <c r="P112" s="2">
        <v>798</v>
      </c>
      <c r="Q112" s="3">
        <v>1629</v>
      </c>
    </row>
    <row r="113" spans="1:17" ht="15.6" x14ac:dyDescent="0.3">
      <c r="A113" s="134"/>
      <c r="J113" s="5">
        <v>12</v>
      </c>
      <c r="K113" s="1" t="s">
        <v>121</v>
      </c>
      <c r="L113" s="3">
        <v>1820</v>
      </c>
      <c r="M113" s="3">
        <v>1060</v>
      </c>
      <c r="N113" s="3">
        <v>1930</v>
      </c>
      <c r="O113" s="3">
        <v>1768</v>
      </c>
      <c r="P113" s="2">
        <v>968</v>
      </c>
      <c r="Q113" s="3">
        <v>1622</v>
      </c>
    </row>
    <row r="114" spans="1:17" ht="15.6" x14ac:dyDescent="0.3">
      <c r="A114" s="134"/>
      <c r="J114" s="5">
        <v>13</v>
      </c>
      <c r="K114" s="1" t="s">
        <v>122</v>
      </c>
      <c r="L114" s="3">
        <v>1820</v>
      </c>
      <c r="M114" s="3">
        <v>1060</v>
      </c>
      <c r="N114" s="3">
        <v>1930</v>
      </c>
      <c r="O114" s="3">
        <v>1768</v>
      </c>
      <c r="P114" s="2">
        <v>968</v>
      </c>
      <c r="Q114" s="3">
        <v>1622</v>
      </c>
    </row>
    <row r="115" spans="1:17" ht="15.6" x14ac:dyDescent="0.3">
      <c r="A115" s="134"/>
      <c r="J115" s="5">
        <v>14</v>
      </c>
      <c r="K115" s="1" t="s">
        <v>123</v>
      </c>
      <c r="L115" s="3">
        <v>1820</v>
      </c>
      <c r="M115" s="3">
        <v>1060</v>
      </c>
      <c r="N115" s="3">
        <v>1930</v>
      </c>
      <c r="O115" s="3">
        <v>1768</v>
      </c>
      <c r="P115" s="2">
        <v>968</v>
      </c>
      <c r="Q115" s="3">
        <v>1622</v>
      </c>
    </row>
    <row r="116" spans="1:17" ht="15.6" x14ac:dyDescent="0.3">
      <c r="A116" s="134"/>
      <c r="J116" s="5">
        <v>15</v>
      </c>
      <c r="K116" s="1" t="s">
        <v>124</v>
      </c>
      <c r="L116" s="3">
        <v>1900</v>
      </c>
      <c r="M116" s="3">
        <v>1200</v>
      </c>
      <c r="N116" s="3">
        <v>1900</v>
      </c>
      <c r="O116" s="3">
        <v>1768</v>
      </c>
      <c r="P116" s="2">
        <v>968</v>
      </c>
      <c r="Q116" s="3">
        <v>1629</v>
      </c>
    </row>
    <row r="117" spans="1:17" ht="15.6" x14ac:dyDescent="0.3">
      <c r="A117" s="134"/>
      <c r="J117" s="5">
        <v>16</v>
      </c>
      <c r="K117" s="1" t="s">
        <v>126</v>
      </c>
      <c r="L117" s="3">
        <v>1820</v>
      </c>
      <c r="M117" s="3">
        <v>1060</v>
      </c>
      <c r="N117" s="3">
        <v>1930</v>
      </c>
      <c r="O117" s="3">
        <v>1768</v>
      </c>
      <c r="P117" s="2">
        <v>968</v>
      </c>
      <c r="Q117" s="3">
        <v>1622</v>
      </c>
    </row>
    <row r="118" spans="1:17" ht="15.6" x14ac:dyDescent="0.3">
      <c r="A118" s="134"/>
      <c r="J118" s="5">
        <v>17</v>
      </c>
      <c r="K118" s="1" t="s">
        <v>127</v>
      </c>
      <c r="L118" s="3">
        <v>1224</v>
      </c>
      <c r="M118" s="3">
        <v>1529</v>
      </c>
      <c r="N118" s="3">
        <v>2172</v>
      </c>
      <c r="O118" s="3">
        <v>1224</v>
      </c>
      <c r="P118" s="3">
        <v>1529</v>
      </c>
      <c r="Q118" s="3">
        <v>2172</v>
      </c>
    </row>
    <row r="119" spans="1:17" ht="15.6" x14ac:dyDescent="0.3">
      <c r="A119" s="134"/>
      <c r="J119" s="5">
        <v>18</v>
      </c>
      <c r="K119" s="1" t="s">
        <v>128</v>
      </c>
      <c r="L119" s="3">
        <v>1224</v>
      </c>
      <c r="M119" s="3">
        <v>1529</v>
      </c>
      <c r="N119" s="3">
        <v>2172</v>
      </c>
      <c r="O119" s="3">
        <v>1224</v>
      </c>
      <c r="P119" s="3">
        <v>1529</v>
      </c>
      <c r="Q119" s="3">
        <v>2172</v>
      </c>
    </row>
    <row r="120" spans="1:17" ht="15.6" x14ac:dyDescent="0.3">
      <c r="A120" s="134"/>
      <c r="J120" s="5">
        <v>19</v>
      </c>
      <c r="K120" s="1" t="s">
        <v>129</v>
      </c>
      <c r="L120" s="3">
        <v>1224</v>
      </c>
      <c r="M120" s="3">
        <v>1529</v>
      </c>
      <c r="N120" s="3">
        <v>2172</v>
      </c>
      <c r="O120" s="3">
        <v>1224</v>
      </c>
      <c r="P120" s="3">
        <v>1529</v>
      </c>
      <c r="Q120" s="3">
        <v>2172</v>
      </c>
    </row>
    <row r="121" spans="1:17" ht="46.5" customHeight="1" x14ac:dyDescent="0.3">
      <c r="A121" s="134"/>
      <c r="J121" s="5">
        <v>20</v>
      </c>
      <c r="K121" s="1" t="s">
        <v>125</v>
      </c>
      <c r="L121" s="3">
        <v>1768</v>
      </c>
      <c r="M121" s="3">
        <v>2224</v>
      </c>
      <c r="N121" s="3">
        <v>2502</v>
      </c>
      <c r="O121" s="3">
        <v>1776</v>
      </c>
      <c r="P121" s="3">
        <v>2050</v>
      </c>
      <c r="Q121" s="3">
        <v>2130</v>
      </c>
    </row>
    <row r="122" spans="1:17" ht="15.6" x14ac:dyDescent="0.3">
      <c r="A122" s="134"/>
      <c r="J122" s="5">
        <v>21</v>
      </c>
      <c r="K122" s="1" t="s">
        <v>130</v>
      </c>
      <c r="L122" s="3">
        <v>1280</v>
      </c>
      <c r="M122" s="3">
        <v>2050</v>
      </c>
      <c r="N122" s="3">
        <v>2312</v>
      </c>
      <c r="O122" s="3">
        <v>1280</v>
      </c>
      <c r="P122" s="3">
        <v>2050</v>
      </c>
      <c r="Q122" s="3">
        <v>2312</v>
      </c>
    </row>
    <row r="123" spans="1:17" ht="15.6" x14ac:dyDescent="0.3">
      <c r="A123" s="134"/>
      <c r="J123" s="5">
        <v>22</v>
      </c>
      <c r="K123" s="1" t="s">
        <v>131</v>
      </c>
      <c r="L123" s="3">
        <v>1280</v>
      </c>
      <c r="M123" s="3">
        <v>2050</v>
      </c>
      <c r="N123" s="3">
        <v>2312</v>
      </c>
      <c r="O123" s="3">
        <v>1280</v>
      </c>
      <c r="P123" s="3">
        <v>2050</v>
      </c>
      <c r="Q123" s="3">
        <v>2312</v>
      </c>
    </row>
    <row r="124" spans="1:17" ht="15.6" x14ac:dyDescent="0.3">
      <c r="A124" s="134"/>
      <c r="J124" s="5">
        <v>23</v>
      </c>
      <c r="K124" s="1" t="s">
        <v>132</v>
      </c>
      <c r="L124" s="3">
        <v>1280</v>
      </c>
      <c r="M124" s="3">
        <v>2050</v>
      </c>
      <c r="N124" s="3">
        <v>2312</v>
      </c>
      <c r="O124" s="3">
        <v>1280</v>
      </c>
      <c r="P124" s="3">
        <v>2050</v>
      </c>
      <c r="Q124" s="3">
        <v>2312</v>
      </c>
    </row>
    <row r="125" spans="1:17" ht="15.6" x14ac:dyDescent="0.3">
      <c r="A125" s="134"/>
      <c r="J125" s="5">
        <v>24</v>
      </c>
      <c r="K125" s="1" t="s">
        <v>133</v>
      </c>
      <c r="L125" s="3">
        <v>1776</v>
      </c>
      <c r="M125" s="3">
        <v>2050</v>
      </c>
      <c r="N125" s="3">
        <v>2310</v>
      </c>
      <c r="O125" s="3">
        <v>1776</v>
      </c>
      <c r="P125" s="3">
        <v>2050</v>
      </c>
      <c r="Q125" s="3">
        <v>2310</v>
      </c>
    </row>
    <row r="126" spans="1:17" ht="15.6" x14ac:dyDescent="0.3">
      <c r="A126" s="134"/>
      <c r="J126" s="5">
        <v>25</v>
      </c>
      <c r="K126" s="1" t="s">
        <v>134</v>
      </c>
      <c r="L126" s="3">
        <v>1811</v>
      </c>
      <c r="M126" s="3">
        <v>4610</v>
      </c>
      <c r="N126" s="3">
        <v>2846</v>
      </c>
      <c r="O126" s="3">
        <v>1811</v>
      </c>
      <c r="P126" s="3">
        <v>4639</v>
      </c>
      <c r="Q126" s="3">
        <v>2846</v>
      </c>
    </row>
    <row r="127" spans="1:17" ht="15.6" x14ac:dyDescent="0.3">
      <c r="A127" s="134"/>
      <c r="J127" s="5">
        <v>26</v>
      </c>
      <c r="K127" s="1" t="s">
        <v>135</v>
      </c>
      <c r="L127" s="3">
        <v>1768</v>
      </c>
      <c r="M127" s="3">
        <v>2224</v>
      </c>
      <c r="N127" s="3">
        <v>2502</v>
      </c>
      <c r="O127" s="3">
        <v>1768</v>
      </c>
      <c r="P127" s="3">
        <v>2224</v>
      </c>
      <c r="Q127" s="3">
        <v>2502</v>
      </c>
    </row>
    <row r="128" spans="1:17" ht="15.6" x14ac:dyDescent="0.3">
      <c r="A128" s="134"/>
      <c r="J128" s="5">
        <v>27</v>
      </c>
      <c r="K128" s="1" t="s">
        <v>136</v>
      </c>
      <c r="L128" s="3">
        <v>1768</v>
      </c>
      <c r="M128" s="3">
        <v>2224</v>
      </c>
      <c r="N128" s="3">
        <v>2502</v>
      </c>
      <c r="O128" s="3">
        <v>1768</v>
      </c>
      <c r="P128" s="3">
        <v>2224</v>
      </c>
      <c r="Q128" s="3">
        <v>2502</v>
      </c>
    </row>
    <row r="129" spans="1:17" ht="15.6" x14ac:dyDescent="0.3">
      <c r="A129" s="134"/>
      <c r="J129" s="5">
        <v>28</v>
      </c>
      <c r="K129" s="1" t="s">
        <v>137</v>
      </c>
      <c r="L129" s="3">
        <v>1768</v>
      </c>
      <c r="M129" s="3">
        <v>2224</v>
      </c>
      <c r="N129" s="3">
        <v>2502</v>
      </c>
      <c r="O129" s="3">
        <v>1768</v>
      </c>
      <c r="P129" s="3">
        <v>2224</v>
      </c>
      <c r="Q129" s="3">
        <v>2502</v>
      </c>
    </row>
    <row r="130" spans="1:17" ht="15.6" x14ac:dyDescent="0.3">
      <c r="A130" s="134"/>
      <c r="J130" s="5">
        <v>29</v>
      </c>
      <c r="K130" s="1" t="s">
        <v>1554</v>
      </c>
      <c r="L130" s="3">
        <v>3539</v>
      </c>
      <c r="M130" s="3">
        <v>2233</v>
      </c>
      <c r="N130" s="3">
        <v>2523</v>
      </c>
      <c r="O130" s="3">
        <v>3539</v>
      </c>
      <c r="P130" s="3">
        <v>2233</v>
      </c>
      <c r="Q130" s="3">
        <v>2523</v>
      </c>
    </row>
    <row r="131" spans="1:17" s="137" customFormat="1" ht="15" thickBot="1" x14ac:dyDescent="0.35">
      <c r="A131" s="136"/>
      <c r="M131" s="138"/>
      <c r="N131" s="138"/>
      <c r="O131" s="138"/>
      <c r="P131" s="138"/>
      <c r="Q131" s="138"/>
    </row>
    <row r="132" spans="1:17" s="132" customFormat="1" x14ac:dyDescent="0.3">
      <c r="A132" s="131"/>
      <c r="M132" s="133"/>
      <c r="N132" s="133"/>
      <c r="O132" s="133"/>
      <c r="P132" s="133"/>
      <c r="Q132" s="133"/>
    </row>
    <row r="133" spans="1:17" x14ac:dyDescent="0.3">
      <c r="A133" s="134"/>
      <c r="M133" s="135"/>
      <c r="N133" s="135"/>
      <c r="O133" s="135"/>
      <c r="P133" s="135"/>
      <c r="Q133" s="135"/>
    </row>
    <row r="134" spans="1:17" ht="43.2" x14ac:dyDescent="0.3">
      <c r="A134" s="134"/>
      <c r="B134" s="176" t="str">
        <f>IF('Interfaccia di selezione'!$K$5=0,K136,IF('Interfaccia di selezione'!$K$5=1,K134))</f>
        <v xml:space="preserve">Modello </v>
      </c>
      <c r="C134" s="176" t="str">
        <f>IF('Interfaccia di selezione'!$K$5=0,L136,IF('Interfaccia di selezione'!$K$5=1,L134))</f>
        <v>Peso a vuoto [kg]</v>
      </c>
      <c r="D134" s="176" t="str">
        <f>IF('Interfaccia di selezione'!$K$5=0,M136,IF('Interfaccia di selezione'!$K$5=1,M134))</f>
        <v>Peso olio [kg]</v>
      </c>
      <c r="E134" s="176" t="str">
        <f>IF('Interfaccia di selezione'!$K$5=0,N136,IF('Interfaccia di selezione'!$K$5=1,N134))</f>
        <v>Peso refrigerante [kg]</v>
      </c>
      <c r="F134" s="176" t="str">
        <f>IF('Interfaccia di selezione'!$K$5=0,O136,IF('Interfaccia di selezione'!$K$5=1,O134))</f>
        <v>Peso in esercizio [kg]</v>
      </c>
      <c r="K134" s="176" t="s">
        <v>97</v>
      </c>
      <c r="L134" s="176" t="s">
        <v>107</v>
      </c>
      <c r="M134" s="176" t="s">
        <v>108</v>
      </c>
      <c r="N134" s="176" t="s">
        <v>109</v>
      </c>
      <c r="O134" s="176" t="s">
        <v>110</v>
      </c>
      <c r="P134" s="135"/>
      <c r="Q134" s="135"/>
    </row>
    <row r="135" spans="1:17" ht="15.6" x14ac:dyDescent="0.3">
      <c r="A135" s="134"/>
      <c r="B135" s="1" t="str">
        <f>IF('Interfaccia di selezione'!$J$5=0,VLOOKUP('Interfaccia di selezione'!$I$5,'Interfaccia di selezione'!$BB$9:$BD$36,2),IF('Interfaccia di selezione'!$J$5=1,VLOOKUP('Interfaccia di selezione'!$I$5,'Interfaccia di selezione'!$BB$9:$BD$36,3), FALSE))</f>
        <v>RT60 W</v>
      </c>
      <c r="C135" s="6">
        <f>VLOOKUP('Interfaccia di selezione'!$I$5,$J$137:$O$164,3,FALSE)</f>
        <v>640</v>
      </c>
      <c r="D135" s="6">
        <f>VLOOKUP('Interfaccia di selezione'!$I$5,$J$137:$O$164,4,FALSE)</f>
        <v>7.2</v>
      </c>
      <c r="E135" s="6">
        <f>VLOOKUP('Interfaccia di selezione'!$I$5,$J$137:$O$164,5,FALSE)</f>
        <v>4.5</v>
      </c>
      <c r="F135" s="6">
        <f>VLOOKUP('Interfaccia di selezione'!$I$5,$J$137:$O$164,6,FALSE)</f>
        <v>700</v>
      </c>
    </row>
    <row r="136" spans="1:17" ht="43.2" x14ac:dyDescent="0.3">
      <c r="A136" s="134"/>
      <c r="K136" s="176" t="s">
        <v>29</v>
      </c>
      <c r="L136" s="176" t="s">
        <v>30</v>
      </c>
      <c r="M136" s="176" t="s">
        <v>31</v>
      </c>
      <c r="N136" s="176" t="s">
        <v>32</v>
      </c>
      <c r="O136" s="176" t="s">
        <v>33</v>
      </c>
    </row>
    <row r="137" spans="1:17" ht="15.6" x14ac:dyDescent="0.3">
      <c r="A137" s="134"/>
      <c r="J137" s="5">
        <v>1</v>
      </c>
      <c r="K137" s="1" t="s">
        <v>72</v>
      </c>
      <c r="L137" s="7">
        <v>280</v>
      </c>
      <c r="M137" s="8">
        <v>1.3</v>
      </c>
      <c r="N137" s="8">
        <v>0.8</v>
      </c>
      <c r="O137" s="7">
        <v>285</v>
      </c>
    </row>
    <row r="138" spans="1:17" ht="15.6" x14ac:dyDescent="0.3">
      <c r="A138" s="134"/>
      <c r="J138" s="5">
        <v>2</v>
      </c>
      <c r="K138" s="1" t="s">
        <v>111</v>
      </c>
      <c r="L138" s="7">
        <v>280</v>
      </c>
      <c r="M138" s="8">
        <v>1.3</v>
      </c>
      <c r="N138" s="8">
        <v>0.8</v>
      </c>
      <c r="O138" s="7">
        <v>285</v>
      </c>
    </row>
    <row r="139" spans="1:17" ht="15.6" x14ac:dyDescent="0.3">
      <c r="A139" s="134"/>
      <c r="J139" s="5">
        <v>3</v>
      </c>
      <c r="K139" s="1" t="s">
        <v>112</v>
      </c>
      <c r="L139" s="7">
        <v>280</v>
      </c>
      <c r="M139" s="8">
        <v>1.3</v>
      </c>
      <c r="N139" s="8">
        <v>0.8</v>
      </c>
      <c r="O139" s="7">
        <v>285</v>
      </c>
    </row>
    <row r="140" spans="1:17" ht="15.6" x14ac:dyDescent="0.3">
      <c r="A140" s="134"/>
      <c r="J140" s="5">
        <v>4</v>
      </c>
      <c r="K140" s="1" t="s">
        <v>113</v>
      </c>
      <c r="L140" s="7">
        <v>460</v>
      </c>
      <c r="M140" s="8">
        <v>4</v>
      </c>
      <c r="N140" s="8">
        <v>2.5</v>
      </c>
      <c r="O140" s="7">
        <v>500</v>
      </c>
    </row>
    <row r="141" spans="1:17" ht="15.6" x14ac:dyDescent="0.3">
      <c r="A141" s="134"/>
      <c r="J141" s="5">
        <v>5</v>
      </c>
      <c r="K141" s="1" t="s">
        <v>114</v>
      </c>
      <c r="L141" s="7">
        <v>460</v>
      </c>
      <c r="M141" s="8">
        <v>4</v>
      </c>
      <c r="N141" s="8">
        <v>2.5</v>
      </c>
      <c r="O141" s="7">
        <v>500</v>
      </c>
    </row>
    <row r="142" spans="1:17" ht="15.6" x14ac:dyDescent="0.3">
      <c r="A142" s="134"/>
      <c r="J142" s="5">
        <v>6</v>
      </c>
      <c r="K142" s="1" t="s">
        <v>115</v>
      </c>
      <c r="L142" s="7">
        <v>460</v>
      </c>
      <c r="M142" s="8">
        <v>4</v>
      </c>
      <c r="N142" s="8">
        <v>2.5</v>
      </c>
      <c r="O142" s="7">
        <v>500</v>
      </c>
    </row>
    <row r="143" spans="1:17" ht="15.6" x14ac:dyDescent="0.3">
      <c r="A143" s="134"/>
      <c r="J143" s="5">
        <v>7</v>
      </c>
      <c r="K143" s="1" t="s">
        <v>116</v>
      </c>
      <c r="L143" s="7">
        <v>550</v>
      </c>
      <c r="M143" s="8">
        <v>4</v>
      </c>
      <c r="N143" s="8">
        <v>5.0999999999999996</v>
      </c>
      <c r="O143" s="7">
        <v>700</v>
      </c>
    </row>
    <row r="144" spans="1:17" ht="15.6" x14ac:dyDescent="0.3">
      <c r="A144" s="134"/>
      <c r="J144" s="5">
        <v>8</v>
      </c>
      <c r="K144" s="1" t="s">
        <v>117</v>
      </c>
      <c r="L144" s="7">
        <v>640</v>
      </c>
      <c r="M144" s="8">
        <v>7.2</v>
      </c>
      <c r="N144" s="8">
        <v>4.5</v>
      </c>
      <c r="O144" s="7">
        <v>700</v>
      </c>
    </row>
    <row r="145" spans="1:15" ht="15.6" x14ac:dyDescent="0.3">
      <c r="A145" s="134"/>
      <c r="J145" s="5">
        <v>9</v>
      </c>
      <c r="K145" s="1" t="s">
        <v>118</v>
      </c>
      <c r="L145" s="7">
        <v>640</v>
      </c>
      <c r="M145" s="8">
        <v>7.2</v>
      </c>
      <c r="N145" s="8">
        <v>4.5</v>
      </c>
      <c r="O145" s="7">
        <v>700</v>
      </c>
    </row>
    <row r="146" spans="1:15" ht="15.6" x14ac:dyDescent="0.3">
      <c r="A146" s="134"/>
      <c r="J146" s="5">
        <v>10</v>
      </c>
      <c r="K146" s="1" t="s">
        <v>119</v>
      </c>
      <c r="L146" s="7">
        <v>640</v>
      </c>
      <c r="M146" s="8">
        <v>7.2</v>
      </c>
      <c r="N146" s="8">
        <v>4.5</v>
      </c>
      <c r="O146" s="7">
        <v>700</v>
      </c>
    </row>
    <row r="147" spans="1:15" ht="15.6" x14ac:dyDescent="0.3">
      <c r="A147" s="134"/>
      <c r="J147" s="5">
        <v>11</v>
      </c>
      <c r="K147" s="1" t="s">
        <v>120</v>
      </c>
      <c r="L147" s="7">
        <v>940</v>
      </c>
      <c r="M147" s="8">
        <v>8</v>
      </c>
      <c r="N147" s="8">
        <v>8</v>
      </c>
      <c r="O147" s="7">
        <v>965</v>
      </c>
    </row>
    <row r="148" spans="1:15" ht="15.6" x14ac:dyDescent="0.3">
      <c r="A148" s="134"/>
      <c r="J148" s="5">
        <v>12</v>
      </c>
      <c r="K148" s="1" t="s">
        <v>121</v>
      </c>
      <c r="L148" s="7">
        <v>990</v>
      </c>
      <c r="M148" s="8">
        <v>7.7</v>
      </c>
      <c r="N148" s="8">
        <v>6.5</v>
      </c>
      <c r="O148" s="9">
        <v>1033</v>
      </c>
    </row>
    <row r="149" spans="1:15" ht="15.6" x14ac:dyDescent="0.3">
      <c r="A149" s="134"/>
      <c r="J149" s="5">
        <v>13</v>
      </c>
      <c r="K149" s="1" t="s">
        <v>122</v>
      </c>
      <c r="L149" s="7">
        <v>990</v>
      </c>
      <c r="M149" s="8">
        <v>7.7</v>
      </c>
      <c r="N149" s="8">
        <v>6.5</v>
      </c>
      <c r="O149" s="9">
        <v>1033</v>
      </c>
    </row>
    <row r="150" spans="1:15" ht="15.6" x14ac:dyDescent="0.3">
      <c r="A150" s="134"/>
      <c r="J150" s="5">
        <v>14</v>
      </c>
      <c r="K150" s="1" t="s">
        <v>123</v>
      </c>
      <c r="L150" s="7">
        <v>800</v>
      </c>
      <c r="M150" s="8">
        <v>7.2</v>
      </c>
      <c r="N150" s="8">
        <v>9.1999999999999993</v>
      </c>
      <c r="O150" s="9">
        <v>995</v>
      </c>
    </row>
    <row r="151" spans="1:15" ht="15.6" x14ac:dyDescent="0.3">
      <c r="A151" s="134"/>
      <c r="J151" s="5">
        <v>15</v>
      </c>
      <c r="K151" s="1" t="s">
        <v>124</v>
      </c>
      <c r="L151" s="7">
        <v>1250</v>
      </c>
      <c r="M151" s="8">
        <v>14.4</v>
      </c>
      <c r="N151" s="8">
        <v>11.4</v>
      </c>
      <c r="O151" s="9">
        <v>1295</v>
      </c>
    </row>
    <row r="152" spans="1:15" ht="15.6" x14ac:dyDescent="0.3">
      <c r="A152" s="134"/>
      <c r="J152" s="5">
        <v>16</v>
      </c>
      <c r="K152" s="1" t="s">
        <v>126</v>
      </c>
      <c r="L152" s="7">
        <v>1600</v>
      </c>
      <c r="M152" s="8">
        <v>7.7</v>
      </c>
      <c r="N152" s="8">
        <v>10</v>
      </c>
      <c r="O152" s="9">
        <v>1990</v>
      </c>
    </row>
    <row r="153" spans="1:15" ht="15.6" x14ac:dyDescent="0.3">
      <c r="A153" s="134"/>
      <c r="J153" s="5">
        <v>17</v>
      </c>
      <c r="K153" s="1" t="s">
        <v>127</v>
      </c>
      <c r="L153" s="9">
        <v>1761</v>
      </c>
      <c r="M153" s="8">
        <v>15.4</v>
      </c>
      <c r="N153" s="8">
        <v>15</v>
      </c>
      <c r="O153" s="9">
        <v>1868</v>
      </c>
    </row>
    <row r="154" spans="1:15" ht="15.6" x14ac:dyDescent="0.3">
      <c r="A154" s="134"/>
      <c r="J154" s="5">
        <v>18</v>
      </c>
      <c r="K154" s="1" t="s">
        <v>128</v>
      </c>
      <c r="L154" s="9">
        <v>1761</v>
      </c>
      <c r="M154" s="8">
        <v>15.4</v>
      </c>
      <c r="N154" s="8">
        <v>15</v>
      </c>
      <c r="O154" s="9">
        <v>1868</v>
      </c>
    </row>
    <row r="155" spans="1:15" ht="31.5" customHeight="1" x14ac:dyDescent="0.3">
      <c r="A155" s="134"/>
      <c r="J155" s="5">
        <v>19</v>
      </c>
      <c r="K155" s="1" t="s">
        <v>129</v>
      </c>
      <c r="L155" s="9">
        <v>1761</v>
      </c>
      <c r="M155" s="8">
        <v>15.4</v>
      </c>
      <c r="N155" s="8">
        <v>15</v>
      </c>
      <c r="O155" s="9">
        <v>1868</v>
      </c>
    </row>
    <row r="156" spans="1:15" ht="30.75" customHeight="1" x14ac:dyDescent="0.3">
      <c r="A156" s="134"/>
      <c r="J156" s="5">
        <v>20</v>
      </c>
      <c r="K156" s="1" t="s">
        <v>125</v>
      </c>
      <c r="L156" s="9">
        <v>3264</v>
      </c>
      <c r="M156" s="8">
        <v>14.4</v>
      </c>
      <c r="N156" s="8">
        <v>49</v>
      </c>
      <c r="O156" s="9">
        <v>3419</v>
      </c>
    </row>
    <row r="157" spans="1:15" ht="21.75" customHeight="1" x14ac:dyDescent="0.3">
      <c r="A157" s="134"/>
      <c r="J157" s="5">
        <v>21</v>
      </c>
      <c r="K157" s="1" t="s">
        <v>130</v>
      </c>
      <c r="L157" s="9">
        <v>2653</v>
      </c>
      <c r="M157" s="8">
        <v>26</v>
      </c>
      <c r="N157" s="8">
        <v>24</v>
      </c>
      <c r="O157" s="9">
        <v>2811</v>
      </c>
    </row>
    <row r="158" spans="1:15" ht="30.75" customHeight="1" x14ac:dyDescent="0.3">
      <c r="A158" s="134"/>
      <c r="J158" s="5">
        <v>22</v>
      </c>
      <c r="K158" s="1" t="s">
        <v>131</v>
      </c>
      <c r="L158" s="9">
        <v>2653</v>
      </c>
      <c r="M158" s="8">
        <v>26</v>
      </c>
      <c r="N158" s="8">
        <v>24</v>
      </c>
      <c r="O158" s="9">
        <v>2811</v>
      </c>
    </row>
    <row r="159" spans="1:15" ht="30" customHeight="1" x14ac:dyDescent="0.3">
      <c r="A159" s="134"/>
      <c r="J159" s="5">
        <v>23</v>
      </c>
      <c r="K159" s="1" t="s">
        <v>132</v>
      </c>
      <c r="L159" s="9">
        <v>2653</v>
      </c>
      <c r="M159" s="8">
        <v>26</v>
      </c>
      <c r="N159" s="8">
        <v>24</v>
      </c>
      <c r="O159" s="9">
        <v>2811</v>
      </c>
    </row>
    <row r="160" spans="1:15" ht="15.6" x14ac:dyDescent="0.3">
      <c r="A160" s="134"/>
      <c r="J160" s="5">
        <v>24</v>
      </c>
      <c r="K160" s="1" t="s">
        <v>133</v>
      </c>
      <c r="L160" s="9">
        <v>4630</v>
      </c>
      <c r="M160" s="8">
        <v>45</v>
      </c>
      <c r="N160" s="8">
        <v>51</v>
      </c>
      <c r="O160" s="9">
        <v>4750</v>
      </c>
    </row>
    <row r="161" spans="1:18" ht="15.6" x14ac:dyDescent="0.3">
      <c r="A161" s="134"/>
      <c r="J161" s="5">
        <v>25</v>
      </c>
      <c r="K161" s="1" t="s">
        <v>134</v>
      </c>
      <c r="L161" s="9">
        <v>3603</v>
      </c>
      <c r="M161" s="8">
        <v>36</v>
      </c>
      <c r="N161" s="8">
        <v>67</v>
      </c>
      <c r="O161" s="9">
        <v>3769</v>
      </c>
    </row>
    <row r="162" spans="1:18" ht="15.6" x14ac:dyDescent="0.3">
      <c r="A162" s="134"/>
      <c r="J162" s="5">
        <v>26</v>
      </c>
      <c r="K162" s="1" t="s">
        <v>135</v>
      </c>
      <c r="L162" s="9">
        <v>4954</v>
      </c>
      <c r="M162" s="8">
        <v>52</v>
      </c>
      <c r="N162" s="8">
        <v>48</v>
      </c>
      <c r="O162" s="9">
        <v>5130</v>
      </c>
    </row>
    <row r="163" spans="1:18" ht="15.6" x14ac:dyDescent="0.3">
      <c r="A163" s="134"/>
      <c r="J163" s="5">
        <v>27</v>
      </c>
      <c r="K163" s="1" t="s">
        <v>136</v>
      </c>
      <c r="L163" s="9">
        <v>4954</v>
      </c>
      <c r="M163" s="8">
        <v>52</v>
      </c>
      <c r="N163" s="8">
        <v>48</v>
      </c>
      <c r="O163" s="9">
        <v>5130</v>
      </c>
    </row>
    <row r="164" spans="1:18" ht="15.6" x14ac:dyDescent="0.3">
      <c r="A164" s="134"/>
      <c r="I164" s="196"/>
      <c r="J164" s="5">
        <v>28</v>
      </c>
      <c r="K164" s="1" t="s">
        <v>137</v>
      </c>
      <c r="L164" s="9">
        <v>4954</v>
      </c>
      <c r="M164" s="8">
        <v>52</v>
      </c>
      <c r="N164" s="8">
        <v>48</v>
      </c>
      <c r="O164" s="9">
        <v>5130</v>
      </c>
    </row>
    <row r="165" spans="1:18" ht="15.6" x14ac:dyDescent="0.3">
      <c r="A165" s="134"/>
      <c r="J165" s="5">
        <v>29</v>
      </c>
      <c r="K165" s="1" t="s">
        <v>1554</v>
      </c>
      <c r="L165" s="197">
        <v>9908</v>
      </c>
      <c r="M165" s="198">
        <v>104</v>
      </c>
      <c r="N165" s="198">
        <v>96</v>
      </c>
      <c r="O165" s="197">
        <v>10260</v>
      </c>
    </row>
    <row r="166" spans="1:18" s="137" customFormat="1" ht="15" thickBot="1" x14ac:dyDescent="0.35">
      <c r="A166" s="136"/>
    </row>
    <row r="167" spans="1:18" ht="15" thickBot="1" x14ac:dyDescent="0.35"/>
    <row r="168" spans="1:18" ht="15" thickBot="1" x14ac:dyDescent="0.35">
      <c r="B168" s="253" t="s">
        <v>196</v>
      </c>
      <c r="C168" s="254"/>
      <c r="D168" s="255"/>
      <c r="E168" s="256" t="s">
        <v>192</v>
      </c>
      <c r="F168" s="254"/>
      <c r="G168" s="255"/>
      <c r="M168" s="253" t="s">
        <v>196</v>
      </c>
      <c r="N168" s="254"/>
      <c r="O168" s="255"/>
      <c r="P168" s="256" t="s">
        <v>192</v>
      </c>
      <c r="Q168" s="254"/>
      <c r="R168" s="255"/>
    </row>
    <row r="169" spans="1:18" ht="44.25" customHeight="1" x14ac:dyDescent="0.3">
      <c r="B169" s="177" t="s">
        <v>798</v>
      </c>
      <c r="C169" s="178" t="s">
        <v>800</v>
      </c>
      <c r="D169" s="179" t="s">
        <v>1391</v>
      </c>
      <c r="E169" s="178" t="s">
        <v>798</v>
      </c>
      <c r="F169" s="178" t="s">
        <v>800</v>
      </c>
      <c r="G169" s="179" t="s">
        <v>1206</v>
      </c>
      <c r="M169" s="177" t="s">
        <v>798</v>
      </c>
      <c r="N169" s="178" t="s">
        <v>800</v>
      </c>
      <c r="O169" s="179" t="s">
        <v>1498</v>
      </c>
      <c r="P169" s="178" t="s">
        <v>798</v>
      </c>
      <c r="Q169" s="178" t="s">
        <v>800</v>
      </c>
      <c r="R169" s="179" t="s">
        <v>1498</v>
      </c>
    </row>
    <row r="170" spans="1:18" ht="15" thickBot="1" x14ac:dyDescent="0.35">
      <c r="B170" s="180" t="s">
        <v>799</v>
      </c>
      <c r="C170" s="181" t="s">
        <v>801</v>
      </c>
      <c r="D170" s="180" t="s">
        <v>1392</v>
      </c>
      <c r="E170" s="181" t="s">
        <v>799</v>
      </c>
      <c r="F170" s="181" t="s">
        <v>801</v>
      </c>
      <c r="G170" s="180" t="s">
        <v>1205</v>
      </c>
      <c r="M170" s="180" t="s">
        <v>799</v>
      </c>
      <c r="N170" s="181" t="s">
        <v>801</v>
      </c>
      <c r="O170" s="180" t="s">
        <v>1392</v>
      </c>
      <c r="P170" s="181" t="s">
        <v>799</v>
      </c>
      <c r="Q170" s="181" t="s">
        <v>801</v>
      </c>
      <c r="R170" s="180" t="s">
        <v>1205</v>
      </c>
    </row>
    <row r="171" spans="1:18" ht="15" thickBot="1" x14ac:dyDescent="0.35">
      <c r="B171" s="129">
        <v>9.4999999999999998E-3</v>
      </c>
      <c r="C171" s="130">
        <v>4.4999999999999998E-2</v>
      </c>
      <c r="D171" s="130">
        <v>9.5</v>
      </c>
      <c r="E171" s="130">
        <v>1.0749999999999999E-2</v>
      </c>
      <c r="F171" s="130">
        <v>2.9499999999999998E-2</v>
      </c>
      <c r="G171" s="130">
        <v>10.75</v>
      </c>
      <c r="M171" s="129">
        <v>9.4999999999999998E-3</v>
      </c>
      <c r="N171" s="130">
        <v>4.4999999999999998E-2</v>
      </c>
      <c r="O171" s="130">
        <v>9.5</v>
      </c>
      <c r="P171" s="130">
        <v>1.0749999999999999E-2</v>
      </c>
      <c r="Q171" s="130">
        <v>2.9499999999999998E-2</v>
      </c>
      <c r="R171" s="130">
        <v>10.75</v>
      </c>
    </row>
    <row r="172" spans="1:18" ht="15" thickBot="1" x14ac:dyDescent="0.35"/>
    <row r="173" spans="1:18" s="132" customFormat="1" x14ac:dyDescent="0.3">
      <c r="A173" s="131"/>
    </row>
    <row r="174" spans="1:18" x14ac:dyDescent="0.3">
      <c r="A174" s="134"/>
    </row>
    <row r="175" spans="1:18" x14ac:dyDescent="0.3">
      <c r="A175" s="134"/>
    </row>
    <row r="176" spans="1:18" ht="15" thickBot="1" x14ac:dyDescent="0.35">
      <c r="A176" s="134"/>
    </row>
    <row r="177" spans="1:16" ht="36" x14ac:dyDescent="0.3">
      <c r="A177" s="134"/>
      <c r="B177" s="173" t="str">
        <f>IF('Interfaccia di selezione'!$K$5=0,Tabelle!K180,IF('Interfaccia di selezione'!$K$5=1,Tabelle!K177))</f>
        <v>MODELLO</v>
      </c>
      <c r="C177" s="174" t="str">
        <f>IF('Interfaccia di selezione'!$K$5=0,Tabelle!L180,IF('Interfaccia di selezione'!$K$5=1,Tabelle!L177))</f>
        <v>CARICA REFRIGERANTE [kg]</v>
      </c>
      <c r="K177" s="249" t="s">
        <v>104</v>
      </c>
      <c r="L177" s="251" t="s">
        <v>105</v>
      </c>
    </row>
    <row r="178" spans="1:16" ht="16.2" thickBot="1" x14ac:dyDescent="0.35">
      <c r="A178" s="134"/>
      <c r="B178" s="1" t="str">
        <f>IF('Interfaccia di selezione'!$J$5=0,VLOOKUP('Interfaccia di selezione'!$I$5,'Interfaccia di selezione'!$BB$9:$BD$36,2),IF('Interfaccia di selezione'!$J$5=1,VLOOKUP('Interfaccia di selezione'!$I$5,'Interfaccia di selezione'!$BB$9:$BD$36,3), FALSE))</f>
        <v>RT60 W</v>
      </c>
      <c r="C178" s="11">
        <f>IF('Interfaccia di selezione'!$J$5=1,VLOOKUP('Interfaccia di selezione'!$I$5,$N$64:$P$91,3),VLOOKUP('Interfaccia di selezione'!$I$5,$J$64:$L$91,3))</f>
        <v>5.7</v>
      </c>
      <c r="K178" s="250"/>
      <c r="L178" s="252"/>
    </row>
    <row r="179" spans="1:16" ht="15" thickBot="1" x14ac:dyDescent="0.35">
      <c r="A179" s="134"/>
    </row>
    <row r="180" spans="1:16" x14ac:dyDescent="0.3">
      <c r="A180" s="134"/>
      <c r="K180" s="249" t="s">
        <v>53</v>
      </c>
      <c r="L180" s="251" t="s">
        <v>54</v>
      </c>
      <c r="O180" s="249" t="s">
        <v>53</v>
      </c>
      <c r="P180" s="251" t="s">
        <v>54</v>
      </c>
    </row>
    <row r="181" spans="1:16" ht="15" thickBot="1" x14ac:dyDescent="0.35">
      <c r="A181" s="134"/>
      <c r="K181" s="250"/>
      <c r="L181" s="252"/>
      <c r="O181" s="250"/>
      <c r="P181" s="252"/>
    </row>
    <row r="182" spans="1:16" ht="15.6" x14ac:dyDescent="0.3">
      <c r="A182" s="134"/>
      <c r="J182" s="5">
        <v>1</v>
      </c>
      <c r="K182" s="1" t="s">
        <v>13</v>
      </c>
      <c r="L182" s="10">
        <v>0.8</v>
      </c>
      <c r="N182" s="5">
        <v>1</v>
      </c>
      <c r="O182" s="1" t="s">
        <v>55</v>
      </c>
      <c r="P182" s="10">
        <v>1.2</v>
      </c>
    </row>
    <row r="183" spans="1:16" ht="15.6" x14ac:dyDescent="0.3">
      <c r="A183" s="134"/>
      <c r="J183" s="5">
        <v>2</v>
      </c>
      <c r="K183" s="1" t="s">
        <v>14</v>
      </c>
      <c r="L183" s="10">
        <v>0.8</v>
      </c>
      <c r="N183" s="5">
        <v>2</v>
      </c>
      <c r="O183" s="1" t="s">
        <v>56</v>
      </c>
      <c r="P183" s="10">
        <v>1.2</v>
      </c>
    </row>
    <row r="184" spans="1:16" ht="15.6" x14ac:dyDescent="0.3">
      <c r="A184" s="134"/>
      <c r="J184" s="5">
        <v>3</v>
      </c>
      <c r="K184" s="1" t="s">
        <v>15</v>
      </c>
      <c r="L184" s="10">
        <v>0.8</v>
      </c>
      <c r="N184" s="5">
        <v>3</v>
      </c>
      <c r="O184" s="1" t="s">
        <v>57</v>
      </c>
      <c r="P184" s="10">
        <v>1.2</v>
      </c>
    </row>
    <row r="185" spans="1:16" ht="15.6" x14ac:dyDescent="0.3">
      <c r="A185" s="134"/>
      <c r="J185" s="5">
        <v>4</v>
      </c>
      <c r="K185" s="1" t="s">
        <v>16</v>
      </c>
      <c r="L185" s="10">
        <v>2.5</v>
      </c>
      <c r="N185" s="5">
        <v>4</v>
      </c>
      <c r="O185" s="1" t="s">
        <v>58</v>
      </c>
      <c r="P185" s="10">
        <v>3.1</v>
      </c>
    </row>
    <row r="186" spans="1:16" ht="15.6" x14ac:dyDescent="0.3">
      <c r="A186" s="134"/>
      <c r="J186" s="5">
        <v>5</v>
      </c>
      <c r="K186" s="1" t="s">
        <v>17</v>
      </c>
      <c r="L186" s="10">
        <v>2.5</v>
      </c>
      <c r="N186" s="5">
        <v>5</v>
      </c>
      <c r="O186" s="1" t="s">
        <v>59</v>
      </c>
      <c r="P186" s="10">
        <v>3.1</v>
      </c>
    </row>
    <row r="187" spans="1:16" ht="15.6" x14ac:dyDescent="0.3">
      <c r="A187" s="134"/>
      <c r="J187" s="5">
        <v>6</v>
      </c>
      <c r="K187" s="1" t="s">
        <v>18</v>
      </c>
      <c r="L187" s="10">
        <v>2.5</v>
      </c>
      <c r="N187" s="5">
        <v>6</v>
      </c>
      <c r="O187" s="1" t="s">
        <v>60</v>
      </c>
      <c r="P187" s="10">
        <v>3.1</v>
      </c>
    </row>
    <row r="188" spans="1:16" ht="15.6" x14ac:dyDescent="0.3">
      <c r="A188" s="134"/>
      <c r="J188" s="5">
        <v>7</v>
      </c>
      <c r="K188" s="1" t="s">
        <v>19</v>
      </c>
      <c r="L188" s="10">
        <v>5.0999999999999996</v>
      </c>
      <c r="N188" s="5">
        <v>7</v>
      </c>
      <c r="O188" s="1" t="s">
        <v>61</v>
      </c>
      <c r="P188" s="10">
        <v>6.1</v>
      </c>
    </row>
    <row r="189" spans="1:16" ht="15.6" x14ac:dyDescent="0.3">
      <c r="A189" s="134"/>
      <c r="J189" s="5">
        <v>8</v>
      </c>
      <c r="K189" s="1" t="s">
        <v>20</v>
      </c>
      <c r="L189" s="10">
        <v>4.5</v>
      </c>
      <c r="N189" s="5">
        <v>8</v>
      </c>
      <c r="O189" s="1" t="s">
        <v>62</v>
      </c>
      <c r="P189" s="10">
        <v>5.7</v>
      </c>
    </row>
    <row r="190" spans="1:16" ht="15.6" x14ac:dyDescent="0.3">
      <c r="A190" s="134"/>
      <c r="J190" s="5">
        <v>9</v>
      </c>
      <c r="K190" s="1" t="s">
        <v>21</v>
      </c>
      <c r="L190" s="10">
        <v>4.5</v>
      </c>
      <c r="N190" s="5">
        <v>9</v>
      </c>
      <c r="O190" s="1" t="s">
        <v>63</v>
      </c>
      <c r="P190" s="10">
        <v>5.7</v>
      </c>
    </row>
    <row r="191" spans="1:16" ht="15.6" x14ac:dyDescent="0.3">
      <c r="A191" s="134"/>
      <c r="J191" s="5">
        <v>10</v>
      </c>
      <c r="K191" s="1" t="s">
        <v>22</v>
      </c>
      <c r="L191" s="10">
        <v>4.5</v>
      </c>
      <c r="N191" s="5">
        <v>10</v>
      </c>
      <c r="O191" s="1" t="s">
        <v>64</v>
      </c>
      <c r="P191" s="10">
        <v>5.7</v>
      </c>
    </row>
    <row r="192" spans="1:16" ht="28.8" x14ac:dyDescent="0.3">
      <c r="A192" s="134"/>
      <c r="J192" s="5">
        <v>11</v>
      </c>
      <c r="K192" s="1" t="s">
        <v>23</v>
      </c>
      <c r="L192" s="11" t="s">
        <v>154</v>
      </c>
      <c r="N192" s="5">
        <v>11</v>
      </c>
      <c r="O192" s="1" t="s">
        <v>65</v>
      </c>
      <c r="P192" s="11" t="s">
        <v>154</v>
      </c>
    </row>
    <row r="193" spans="1:16" ht="15.6" x14ac:dyDescent="0.3">
      <c r="A193" s="134"/>
      <c r="J193" s="5">
        <v>12</v>
      </c>
      <c r="K193" s="1" t="s">
        <v>24</v>
      </c>
      <c r="L193" s="10">
        <v>6.5</v>
      </c>
      <c r="N193" s="5">
        <v>12</v>
      </c>
      <c r="O193" s="1" t="s">
        <v>66</v>
      </c>
      <c r="P193" s="10">
        <v>9.1</v>
      </c>
    </row>
    <row r="194" spans="1:16" ht="15.6" x14ac:dyDescent="0.3">
      <c r="A194" s="134"/>
      <c r="J194" s="5">
        <v>13</v>
      </c>
      <c r="K194" s="1" t="s">
        <v>25</v>
      </c>
      <c r="L194" s="10">
        <v>6.5</v>
      </c>
      <c r="N194" s="5">
        <v>13</v>
      </c>
      <c r="O194" s="1" t="s">
        <v>67</v>
      </c>
      <c r="P194" s="10">
        <v>9.1</v>
      </c>
    </row>
    <row r="195" spans="1:16" ht="15.6" x14ac:dyDescent="0.3">
      <c r="A195" s="134"/>
      <c r="J195" s="5">
        <v>14</v>
      </c>
      <c r="K195" s="1" t="s">
        <v>26</v>
      </c>
      <c r="L195" s="10">
        <v>6.5</v>
      </c>
      <c r="N195" s="5">
        <v>14</v>
      </c>
      <c r="O195" s="1" t="s">
        <v>68</v>
      </c>
      <c r="P195" s="10">
        <v>11.3</v>
      </c>
    </row>
    <row r="196" spans="1:16" ht="28.8" x14ac:dyDescent="0.3">
      <c r="A196" s="134"/>
      <c r="J196" s="5">
        <v>15</v>
      </c>
      <c r="K196" s="1" t="s">
        <v>50</v>
      </c>
      <c r="L196" s="11" t="s">
        <v>153</v>
      </c>
      <c r="N196" s="5">
        <v>15</v>
      </c>
      <c r="O196" s="1" t="s">
        <v>69</v>
      </c>
      <c r="P196" s="11" t="s">
        <v>153</v>
      </c>
    </row>
    <row r="197" spans="1:16" ht="15.6" x14ac:dyDescent="0.3">
      <c r="A197" s="134"/>
      <c r="J197" s="5">
        <v>16</v>
      </c>
      <c r="K197" s="1" t="s">
        <v>138</v>
      </c>
      <c r="L197" s="14">
        <v>10</v>
      </c>
      <c r="N197" s="5">
        <v>16</v>
      </c>
      <c r="O197" s="1" t="s">
        <v>141</v>
      </c>
      <c r="P197" s="14">
        <v>12.1</v>
      </c>
    </row>
    <row r="198" spans="1:16" ht="15.6" x14ac:dyDescent="0.3">
      <c r="A198" s="134"/>
      <c r="J198" s="5">
        <v>17</v>
      </c>
      <c r="K198" s="1" t="s">
        <v>139</v>
      </c>
      <c r="L198" s="14">
        <v>15</v>
      </c>
      <c r="N198" s="5">
        <v>17</v>
      </c>
      <c r="O198" s="1" t="s">
        <v>86</v>
      </c>
      <c r="P198" s="14">
        <v>15</v>
      </c>
    </row>
    <row r="199" spans="1:16" ht="15.6" x14ac:dyDescent="0.3">
      <c r="A199" s="134"/>
      <c r="J199" s="5">
        <v>18</v>
      </c>
      <c r="K199" s="1" t="s">
        <v>75</v>
      </c>
      <c r="L199" s="14">
        <v>15</v>
      </c>
      <c r="N199" s="5">
        <v>18</v>
      </c>
      <c r="O199" s="1" t="s">
        <v>87</v>
      </c>
      <c r="P199" s="14">
        <v>15</v>
      </c>
    </row>
    <row r="200" spans="1:16" ht="15.6" x14ac:dyDescent="0.3">
      <c r="A200" s="134"/>
      <c r="J200" s="5">
        <v>19</v>
      </c>
      <c r="K200" s="1" t="s">
        <v>140</v>
      </c>
      <c r="L200" s="14">
        <v>15</v>
      </c>
      <c r="N200" s="5">
        <v>19</v>
      </c>
      <c r="O200" s="1" t="s">
        <v>88</v>
      </c>
      <c r="P200" s="14">
        <v>15</v>
      </c>
    </row>
    <row r="201" spans="1:16" ht="15.6" x14ac:dyDescent="0.3">
      <c r="A201" s="134"/>
      <c r="J201" s="5">
        <v>20</v>
      </c>
      <c r="K201" s="1" t="s">
        <v>51</v>
      </c>
      <c r="L201" s="33">
        <v>49</v>
      </c>
      <c r="N201" s="5">
        <v>20</v>
      </c>
      <c r="O201" s="1" t="s">
        <v>70</v>
      </c>
      <c r="P201" s="33">
        <v>65</v>
      </c>
    </row>
    <row r="202" spans="1:16" ht="15.6" x14ac:dyDescent="0.3">
      <c r="A202" s="134"/>
      <c r="J202" s="5">
        <v>21</v>
      </c>
      <c r="K202" s="1" t="s">
        <v>77</v>
      </c>
      <c r="L202" s="14">
        <v>24</v>
      </c>
      <c r="N202" s="5">
        <v>21</v>
      </c>
      <c r="O202" s="1" t="s">
        <v>89</v>
      </c>
      <c r="P202" s="14">
        <v>24</v>
      </c>
    </row>
    <row r="203" spans="1:16" ht="15.6" x14ac:dyDescent="0.3">
      <c r="A203" s="134"/>
      <c r="J203" s="5">
        <v>22</v>
      </c>
      <c r="K203" s="1" t="s">
        <v>78</v>
      </c>
      <c r="L203" s="14">
        <v>24</v>
      </c>
      <c r="N203" s="5">
        <v>22</v>
      </c>
      <c r="O203" s="1" t="s">
        <v>90</v>
      </c>
      <c r="P203" s="14">
        <v>24</v>
      </c>
    </row>
    <row r="204" spans="1:16" ht="15.6" x14ac:dyDescent="0.3">
      <c r="A204" s="134"/>
      <c r="J204" s="5">
        <v>23</v>
      </c>
      <c r="K204" s="1" t="s">
        <v>79</v>
      </c>
      <c r="L204" s="14">
        <v>24</v>
      </c>
      <c r="N204" s="5">
        <v>23</v>
      </c>
      <c r="O204" s="1" t="s">
        <v>91</v>
      </c>
      <c r="P204" s="14">
        <v>24</v>
      </c>
    </row>
    <row r="205" spans="1:16" ht="15.6" x14ac:dyDescent="0.3">
      <c r="A205" s="134"/>
      <c r="J205" s="5">
        <v>24</v>
      </c>
      <c r="K205" s="1" t="s">
        <v>80</v>
      </c>
      <c r="L205" s="33">
        <v>51</v>
      </c>
      <c r="N205" s="5">
        <v>24</v>
      </c>
      <c r="O205" s="1" t="s">
        <v>92</v>
      </c>
      <c r="P205" s="33">
        <v>65</v>
      </c>
    </row>
    <row r="206" spans="1:16" ht="28.8" x14ac:dyDescent="0.3">
      <c r="A206" s="134"/>
      <c r="J206" s="5">
        <v>25</v>
      </c>
      <c r="K206" s="1" t="s">
        <v>81</v>
      </c>
      <c r="L206" s="11" t="s">
        <v>151</v>
      </c>
      <c r="N206" s="5">
        <v>25</v>
      </c>
      <c r="O206" s="1" t="s">
        <v>93</v>
      </c>
      <c r="P206" s="11" t="s">
        <v>152</v>
      </c>
    </row>
    <row r="207" spans="1:16" ht="15.6" x14ac:dyDescent="0.3">
      <c r="A207" s="134"/>
      <c r="J207" s="5">
        <v>26</v>
      </c>
      <c r="K207" s="1" t="s">
        <v>82</v>
      </c>
      <c r="L207" s="14">
        <v>48</v>
      </c>
      <c r="N207" s="5">
        <v>26</v>
      </c>
      <c r="O207" s="1" t="s">
        <v>94</v>
      </c>
      <c r="P207" s="14">
        <v>48</v>
      </c>
    </row>
    <row r="208" spans="1:16" ht="15.6" x14ac:dyDescent="0.3">
      <c r="A208" s="134"/>
      <c r="J208" s="5">
        <v>27</v>
      </c>
      <c r="K208" s="1" t="s">
        <v>83</v>
      </c>
      <c r="L208" s="14">
        <v>48</v>
      </c>
      <c r="N208" s="5">
        <v>27</v>
      </c>
      <c r="O208" s="1" t="s">
        <v>95</v>
      </c>
      <c r="P208" s="14">
        <v>48</v>
      </c>
    </row>
    <row r="209" spans="1:16" ht="15.6" x14ac:dyDescent="0.3">
      <c r="A209" s="134"/>
      <c r="J209" s="5">
        <v>28</v>
      </c>
      <c r="K209" s="1" t="s">
        <v>84</v>
      </c>
      <c r="L209" s="14">
        <v>48</v>
      </c>
      <c r="N209" s="5">
        <v>28</v>
      </c>
      <c r="O209" s="1" t="s">
        <v>96</v>
      </c>
      <c r="P209" s="14">
        <v>48</v>
      </c>
    </row>
    <row r="210" spans="1:16" ht="15.6" x14ac:dyDescent="0.3">
      <c r="A210" s="134"/>
      <c r="J210" s="5">
        <v>29</v>
      </c>
      <c r="K210" s="1" t="s">
        <v>1554</v>
      </c>
      <c r="L210" s="199">
        <v>96</v>
      </c>
    </row>
    <row r="211" spans="1:16" s="137" customFormat="1" ht="15" thickBot="1" x14ac:dyDescent="0.35">
      <c r="A211" s="136"/>
    </row>
    <row r="212" spans="1:16" s="132" customFormat="1" x14ac:dyDescent="0.3">
      <c r="A212" s="131"/>
    </row>
    <row r="213" spans="1:16" x14ac:dyDescent="0.3">
      <c r="A213" s="257" t="str">
        <f>IF('Interfaccia di selezione'!$K$5=0,K218,IF('Interfaccia di selezione'!$K$5=1,K213))</f>
        <v>Modello</v>
      </c>
      <c r="B213" s="244" t="str">
        <f>IF('Interfaccia di selezione'!$K$5=0,L218,IF('Interfaccia di selezione'!$K$5=1,L213))</f>
        <v>DIMENSIONI E PESI UNITA ESTERNA</v>
      </c>
      <c r="C213" s="245"/>
      <c r="D213" s="245"/>
      <c r="E213" s="245"/>
      <c r="F213" s="245"/>
      <c r="K213" s="228" t="s">
        <v>97</v>
      </c>
      <c r="L213" s="246" t="s">
        <v>880</v>
      </c>
      <c r="M213" s="247"/>
      <c r="N213" s="247"/>
      <c r="O213" s="247"/>
      <c r="P213" s="248"/>
    </row>
    <row r="214" spans="1:16" x14ac:dyDescent="0.3">
      <c r="A214" s="257"/>
      <c r="B214" s="175" t="str">
        <f>IF('Interfaccia di selezione'!$K$5=0,L219,IF('Interfaccia di selezione'!$K$5=1,L214))</f>
        <v>Larghezza</v>
      </c>
      <c r="C214" s="175" t="str">
        <f>IF('Interfaccia di selezione'!$K$5=0,M219,IF('Interfaccia di selezione'!$K$5=1,M214))</f>
        <v>Profondità</v>
      </c>
      <c r="D214" s="175" t="str">
        <f>IF('Interfaccia di selezione'!$K$5=0,N219,IF('Interfaccia di selezione'!$K$5=1,N214))</f>
        <v>Altezza</v>
      </c>
      <c r="E214" s="175" t="str">
        <f>IF('Interfaccia di selezione'!$K$5=0,O219,IF('Interfaccia di selezione'!$K$5=1,O214))</f>
        <v>Peso</v>
      </c>
      <c r="F214" s="175" t="str">
        <f>IF('Interfaccia di selezione'!$K$5=0,P219,IF('Interfaccia di selezione'!$K$5=1,P214))</f>
        <v>Attacchi</v>
      </c>
      <c r="K214" s="228"/>
      <c r="L214" s="175" t="s">
        <v>100</v>
      </c>
      <c r="M214" s="175" t="s">
        <v>101</v>
      </c>
      <c r="N214" s="175" t="s">
        <v>102</v>
      </c>
      <c r="O214" s="175" t="s">
        <v>878</v>
      </c>
      <c r="P214" s="175" t="s">
        <v>879</v>
      </c>
    </row>
    <row r="215" spans="1:16" x14ac:dyDescent="0.3">
      <c r="A215" s="257"/>
      <c r="B215" s="175" t="s">
        <v>9</v>
      </c>
      <c r="C215" s="175" t="s">
        <v>9</v>
      </c>
      <c r="D215" s="175" t="s">
        <v>9</v>
      </c>
      <c r="E215" s="182" t="s">
        <v>871</v>
      </c>
      <c r="F215" s="182" t="s">
        <v>291</v>
      </c>
      <c r="K215" s="228"/>
      <c r="L215" s="175" t="s">
        <v>9</v>
      </c>
      <c r="M215" s="175" t="s">
        <v>9</v>
      </c>
      <c r="N215" s="175" t="s">
        <v>9</v>
      </c>
      <c r="O215" s="175" t="s">
        <v>871</v>
      </c>
      <c r="P215" s="182" t="s">
        <v>291</v>
      </c>
    </row>
    <row r="216" spans="1:16" ht="15.6" x14ac:dyDescent="0.3">
      <c r="A216" s="148" t="str">
        <f>IF('Interfaccia di selezione'!$J$5=0,VLOOKUP('Interfaccia di selezione'!$I$5,'Interfaccia di selezione'!$BB$9:$BD$36,2),IF('Interfaccia di selezione'!$J$5=1,VLOOKUP('Interfaccia di selezione'!$I$5,'Interfaccia di selezione'!$BB$9:$BD$36,3), FALSE))</f>
        <v>RT60 W</v>
      </c>
      <c r="B216" s="2">
        <f>VLOOKUP('Interfaccia di selezione'!$I$5,$J$221:$P$248,3)</f>
        <v>0</v>
      </c>
      <c r="C216" s="2">
        <f>VLOOKUP('Interfaccia di selezione'!$I$5,$J$221:$P$248,4)</f>
        <v>0</v>
      </c>
      <c r="D216" s="2">
        <f>VLOOKUP('Interfaccia di selezione'!$I$5,$J$221:$P$248,5)</f>
        <v>0</v>
      </c>
      <c r="E216" s="2">
        <f>VLOOKUP('Interfaccia di selezione'!$I$5,$J$221:$P$248,6)</f>
        <v>0</v>
      </c>
      <c r="F216" s="2">
        <f>VLOOKUP('Interfaccia di selezione'!$I$5,$J$221:$P$248,7)</f>
        <v>0</v>
      </c>
    </row>
    <row r="217" spans="1:16" x14ac:dyDescent="0.3">
      <c r="A217" s="134"/>
    </row>
    <row r="218" spans="1:16" x14ac:dyDescent="0.3">
      <c r="A218" s="134"/>
      <c r="K218" s="228" t="s">
        <v>2</v>
      </c>
      <c r="L218" s="244" t="s">
        <v>870</v>
      </c>
      <c r="M218" s="245"/>
      <c r="N218" s="245"/>
      <c r="O218" s="245"/>
      <c r="P218" s="245"/>
    </row>
    <row r="219" spans="1:16" x14ac:dyDescent="0.3">
      <c r="A219" s="134"/>
      <c r="K219" s="228"/>
      <c r="L219" s="175" t="s">
        <v>5</v>
      </c>
      <c r="M219" s="175" t="s">
        <v>6</v>
      </c>
      <c r="N219" s="175" t="s">
        <v>7</v>
      </c>
      <c r="O219" s="182" t="s">
        <v>868</v>
      </c>
      <c r="P219" s="182" t="s">
        <v>869</v>
      </c>
    </row>
    <row r="220" spans="1:16" x14ac:dyDescent="0.3">
      <c r="A220" s="134"/>
      <c r="K220" s="228"/>
      <c r="L220" s="175" t="s">
        <v>9</v>
      </c>
      <c r="M220" s="175" t="s">
        <v>9</v>
      </c>
      <c r="N220" s="175" t="s">
        <v>9</v>
      </c>
      <c r="O220" s="182" t="s">
        <v>871</v>
      </c>
      <c r="P220" s="182" t="s">
        <v>291</v>
      </c>
    </row>
    <row r="221" spans="1:16" ht="15.6" x14ac:dyDescent="0.3">
      <c r="A221" s="134"/>
      <c r="J221" s="5">
        <v>1</v>
      </c>
      <c r="K221" s="141" t="s">
        <v>72</v>
      </c>
      <c r="L221" s="2"/>
      <c r="M221" s="2"/>
      <c r="N221" s="3"/>
      <c r="O221" s="5"/>
      <c r="P221" s="5"/>
    </row>
    <row r="222" spans="1:16" ht="15.6" x14ac:dyDescent="0.3">
      <c r="A222" s="134"/>
      <c r="J222" s="5">
        <v>2</v>
      </c>
      <c r="K222" s="141" t="s">
        <v>111</v>
      </c>
      <c r="L222" s="2"/>
      <c r="M222" s="2"/>
      <c r="N222" s="3"/>
      <c r="O222" s="5"/>
      <c r="P222" s="5"/>
    </row>
    <row r="223" spans="1:16" ht="15.6" x14ac:dyDescent="0.3">
      <c r="A223" s="134"/>
      <c r="J223" s="5">
        <v>3</v>
      </c>
      <c r="K223" s="141" t="s">
        <v>112</v>
      </c>
      <c r="L223" s="9">
        <v>1130</v>
      </c>
      <c r="M223" s="7">
        <v>870</v>
      </c>
      <c r="N223" s="7">
        <v>992</v>
      </c>
      <c r="O223" s="7">
        <v>84</v>
      </c>
      <c r="P223" s="7" t="s">
        <v>872</v>
      </c>
    </row>
    <row r="224" spans="1:16" ht="15.6" x14ac:dyDescent="0.3">
      <c r="A224" s="134"/>
      <c r="J224" s="5">
        <v>4</v>
      </c>
      <c r="K224" s="141" t="s">
        <v>113</v>
      </c>
      <c r="L224" s="3"/>
      <c r="M224" s="2"/>
      <c r="N224" s="3"/>
      <c r="O224" s="5"/>
      <c r="P224" s="5"/>
    </row>
    <row r="225" spans="1:16" ht="15.6" x14ac:dyDescent="0.3">
      <c r="A225" s="134"/>
      <c r="J225" s="5">
        <v>5</v>
      </c>
      <c r="K225" s="141" t="s">
        <v>114</v>
      </c>
      <c r="L225" s="3"/>
      <c r="M225" s="2"/>
      <c r="N225" s="3"/>
      <c r="O225" s="5"/>
      <c r="P225" s="5"/>
    </row>
    <row r="226" spans="1:16" ht="15.6" x14ac:dyDescent="0.3">
      <c r="A226" s="134"/>
      <c r="J226" s="5">
        <v>6</v>
      </c>
      <c r="K226" s="141" t="s">
        <v>115</v>
      </c>
      <c r="L226" s="146">
        <v>2030</v>
      </c>
      <c r="M226" s="147">
        <v>870</v>
      </c>
      <c r="N226" s="147">
        <v>992</v>
      </c>
      <c r="O226" s="7">
        <v>190</v>
      </c>
      <c r="P226" s="7" t="s">
        <v>873</v>
      </c>
    </row>
    <row r="227" spans="1:16" ht="15.6" x14ac:dyDescent="0.3">
      <c r="A227" s="134"/>
      <c r="J227" s="5">
        <v>7</v>
      </c>
      <c r="K227" s="141" t="s">
        <v>116</v>
      </c>
      <c r="L227" s="146">
        <v>3830</v>
      </c>
      <c r="M227" s="147">
        <v>870</v>
      </c>
      <c r="N227" s="147">
        <v>992</v>
      </c>
      <c r="O227" s="7">
        <v>273</v>
      </c>
      <c r="P227" s="147" t="s">
        <v>874</v>
      </c>
    </row>
    <row r="228" spans="1:16" ht="15.6" x14ac:dyDescent="0.3">
      <c r="A228" s="134"/>
      <c r="J228" s="5">
        <v>8</v>
      </c>
      <c r="K228" s="141" t="s">
        <v>117</v>
      </c>
      <c r="L228" s="3"/>
      <c r="M228" s="2"/>
      <c r="N228" s="3"/>
      <c r="O228" s="5"/>
      <c r="P228" s="5"/>
    </row>
    <row r="229" spans="1:16" ht="15.6" x14ac:dyDescent="0.3">
      <c r="A229" s="134"/>
      <c r="J229" s="5">
        <v>9</v>
      </c>
      <c r="K229" s="141" t="s">
        <v>118</v>
      </c>
      <c r="L229" s="3"/>
      <c r="M229" s="2"/>
      <c r="N229" s="3"/>
      <c r="O229" s="5"/>
      <c r="P229" s="5"/>
    </row>
    <row r="230" spans="1:16" ht="15.6" x14ac:dyDescent="0.3">
      <c r="A230" s="134"/>
      <c r="J230" s="5">
        <v>10</v>
      </c>
      <c r="K230" s="141" t="s">
        <v>119</v>
      </c>
      <c r="L230" s="146">
        <v>2930</v>
      </c>
      <c r="M230" s="147">
        <v>870</v>
      </c>
      <c r="N230" s="147">
        <v>992</v>
      </c>
      <c r="O230" s="147">
        <v>345</v>
      </c>
      <c r="P230" s="147" t="s">
        <v>874</v>
      </c>
    </row>
    <row r="231" spans="1:16" ht="15.6" x14ac:dyDescent="0.3">
      <c r="A231" s="134"/>
      <c r="J231" s="5">
        <v>11</v>
      </c>
      <c r="K231" s="141" t="s">
        <v>120</v>
      </c>
      <c r="L231" s="146">
        <v>2820</v>
      </c>
      <c r="M231" s="147">
        <v>750</v>
      </c>
      <c r="N231" s="147">
        <v>900</v>
      </c>
      <c r="O231" s="147">
        <v>550</v>
      </c>
      <c r="P231" s="147" t="s">
        <v>876</v>
      </c>
    </row>
    <row r="232" spans="1:16" ht="15.6" x14ac:dyDescent="0.3">
      <c r="A232" s="134"/>
      <c r="J232" s="5">
        <v>12</v>
      </c>
      <c r="K232" s="141" t="s">
        <v>121</v>
      </c>
      <c r="L232" s="3"/>
      <c r="M232" s="3"/>
      <c r="N232" s="3"/>
      <c r="O232" s="5"/>
      <c r="P232" s="5"/>
    </row>
    <row r="233" spans="1:16" ht="15.6" x14ac:dyDescent="0.3">
      <c r="A233" s="134"/>
      <c r="J233" s="5">
        <v>13</v>
      </c>
      <c r="K233" s="141" t="s">
        <v>122</v>
      </c>
      <c r="L233" s="3"/>
      <c r="M233" s="3"/>
      <c r="N233" s="3"/>
      <c r="O233" s="5"/>
      <c r="P233" s="5"/>
    </row>
    <row r="234" spans="1:16" ht="15.6" x14ac:dyDescent="0.3">
      <c r="A234" s="134"/>
      <c r="J234" s="5">
        <v>14</v>
      </c>
      <c r="K234" s="141" t="s">
        <v>123</v>
      </c>
      <c r="L234" s="9">
        <v>4270</v>
      </c>
      <c r="M234" s="9">
        <v>1464</v>
      </c>
      <c r="N234" s="9">
        <v>1356</v>
      </c>
      <c r="O234" s="7">
        <v>395</v>
      </c>
      <c r="P234" s="7" t="s">
        <v>1535</v>
      </c>
    </row>
    <row r="235" spans="1:16" ht="15.6" x14ac:dyDescent="0.3">
      <c r="A235" s="134"/>
      <c r="J235" s="5">
        <v>15</v>
      </c>
      <c r="K235" s="141" t="s">
        <v>124</v>
      </c>
      <c r="L235" s="9">
        <v>2810</v>
      </c>
      <c r="M235" s="9">
        <v>1610</v>
      </c>
      <c r="N235" s="9">
        <v>1430</v>
      </c>
      <c r="O235" s="7">
        <v>800</v>
      </c>
      <c r="P235" s="7" t="s">
        <v>877</v>
      </c>
    </row>
    <row r="236" spans="1:16" ht="15.6" x14ac:dyDescent="0.3">
      <c r="A236" s="134"/>
      <c r="J236" s="5">
        <v>16</v>
      </c>
      <c r="K236" s="141" t="s">
        <v>126</v>
      </c>
      <c r="L236" s="9">
        <v>5520</v>
      </c>
      <c r="M236" s="9">
        <v>1464</v>
      </c>
      <c r="N236" s="9">
        <v>1356</v>
      </c>
      <c r="O236" s="7">
        <v>599</v>
      </c>
      <c r="P236" s="7" t="s">
        <v>1536</v>
      </c>
    </row>
    <row r="237" spans="1:16" ht="15.6" x14ac:dyDescent="0.3">
      <c r="A237" s="134"/>
      <c r="J237" s="5">
        <v>17</v>
      </c>
      <c r="K237" s="141" t="s">
        <v>127</v>
      </c>
      <c r="L237" s="146"/>
      <c r="M237" s="147"/>
      <c r="N237" s="147"/>
      <c r="O237" s="7"/>
      <c r="P237" s="7"/>
    </row>
    <row r="238" spans="1:16" ht="15.6" x14ac:dyDescent="0.3">
      <c r="A238" s="134"/>
      <c r="J238" s="5">
        <v>18</v>
      </c>
      <c r="K238" s="141" t="s">
        <v>128</v>
      </c>
      <c r="L238" s="3"/>
      <c r="M238" s="3"/>
      <c r="N238" s="3"/>
      <c r="O238" s="5"/>
      <c r="P238" s="5"/>
    </row>
    <row r="239" spans="1:16" ht="15.6" x14ac:dyDescent="0.3">
      <c r="A239" s="134"/>
      <c r="J239" s="5">
        <v>19</v>
      </c>
      <c r="K239" s="141" t="s">
        <v>129</v>
      </c>
      <c r="L239" s="9">
        <v>3830</v>
      </c>
      <c r="M239" s="7">
        <v>870</v>
      </c>
      <c r="N239" s="7">
        <v>992</v>
      </c>
      <c r="O239" s="7">
        <v>655</v>
      </c>
      <c r="P239" s="7" t="s">
        <v>875</v>
      </c>
    </row>
    <row r="240" spans="1:16" ht="15.6" x14ac:dyDescent="0.3">
      <c r="A240" s="134"/>
      <c r="J240" s="5">
        <v>20</v>
      </c>
      <c r="K240" s="141" t="s">
        <v>125</v>
      </c>
      <c r="L240" s="3"/>
      <c r="M240" s="3"/>
      <c r="N240" s="3"/>
      <c r="O240" s="5"/>
      <c r="P240" s="5"/>
    </row>
    <row r="241" spans="1:16" ht="15.6" x14ac:dyDescent="0.3">
      <c r="A241" s="134"/>
      <c r="J241" s="5">
        <v>21</v>
      </c>
      <c r="K241" s="141" t="s">
        <v>130</v>
      </c>
      <c r="L241" s="3"/>
      <c r="M241" s="3"/>
      <c r="N241" s="3"/>
      <c r="O241" s="5"/>
      <c r="P241" s="5"/>
    </row>
    <row r="242" spans="1:16" ht="15.6" x14ac:dyDescent="0.3">
      <c r="A242" s="134"/>
      <c r="J242" s="5">
        <v>22</v>
      </c>
      <c r="K242" s="141" t="s">
        <v>131</v>
      </c>
      <c r="L242" s="3"/>
      <c r="M242" s="3"/>
      <c r="N242" s="3"/>
      <c r="O242" s="5"/>
      <c r="P242" s="5"/>
    </row>
    <row r="243" spans="1:16" ht="15.6" x14ac:dyDescent="0.3">
      <c r="A243" s="134"/>
      <c r="J243" s="5">
        <v>23</v>
      </c>
      <c r="K243" s="141" t="s">
        <v>132</v>
      </c>
      <c r="L243" s="3"/>
      <c r="M243" s="3"/>
      <c r="N243" s="3"/>
      <c r="O243" s="5"/>
      <c r="P243" s="5"/>
    </row>
    <row r="244" spans="1:16" ht="15.6" x14ac:dyDescent="0.3">
      <c r="A244" s="134"/>
      <c r="J244" s="5">
        <v>24</v>
      </c>
      <c r="K244" s="141" t="s">
        <v>133</v>
      </c>
      <c r="L244" s="3"/>
      <c r="M244" s="3"/>
      <c r="N244" s="3"/>
      <c r="O244" s="5"/>
      <c r="P244" s="5"/>
    </row>
    <row r="245" spans="1:16" ht="15.6" x14ac:dyDescent="0.3">
      <c r="A245" s="134"/>
      <c r="J245" s="5">
        <v>25</v>
      </c>
      <c r="K245" s="141" t="s">
        <v>134</v>
      </c>
      <c r="L245" s="3"/>
      <c r="M245" s="3"/>
      <c r="N245" s="3"/>
      <c r="O245" s="5"/>
      <c r="P245" s="5"/>
    </row>
    <row r="246" spans="1:16" ht="15.6" x14ac:dyDescent="0.3">
      <c r="A246" s="134"/>
      <c r="J246" s="5">
        <v>26</v>
      </c>
      <c r="K246" s="141" t="s">
        <v>135</v>
      </c>
      <c r="L246" s="3"/>
      <c r="M246" s="3"/>
      <c r="N246" s="3"/>
      <c r="O246" s="5"/>
      <c r="P246" s="5"/>
    </row>
    <row r="247" spans="1:16" ht="15.6" x14ac:dyDescent="0.3">
      <c r="A247" s="134"/>
      <c r="J247" s="5">
        <v>27</v>
      </c>
      <c r="K247" s="141" t="s">
        <v>136</v>
      </c>
      <c r="L247" s="3"/>
      <c r="M247" s="3"/>
      <c r="N247" s="3"/>
      <c r="O247" s="5"/>
      <c r="P247" s="5"/>
    </row>
    <row r="248" spans="1:16" ht="15.6" x14ac:dyDescent="0.3">
      <c r="A248" s="134"/>
      <c r="J248" s="5">
        <v>28</v>
      </c>
      <c r="K248" s="141" t="s">
        <v>137</v>
      </c>
      <c r="L248" s="3"/>
      <c r="M248" s="3"/>
      <c r="N248" s="3"/>
      <c r="O248" s="5"/>
      <c r="P248" s="5"/>
    </row>
    <row r="249" spans="1:16" ht="15.6" x14ac:dyDescent="0.3">
      <c r="A249" s="134"/>
      <c r="J249" s="5">
        <v>29</v>
      </c>
      <c r="K249" s="1" t="s">
        <v>1554</v>
      </c>
      <c r="L249" s="135"/>
      <c r="M249" s="135"/>
      <c r="N249" s="135"/>
    </row>
    <row r="250" spans="1:16" s="137" customFormat="1" ht="15" thickBot="1" x14ac:dyDescent="0.35">
      <c r="A250" s="136"/>
    </row>
    <row r="251" spans="1:16" s="132" customFormat="1" x14ac:dyDescent="0.3">
      <c r="A251" s="131"/>
    </row>
    <row r="252" spans="1:16" x14ac:dyDescent="0.3">
      <c r="A252" s="134"/>
    </row>
    <row r="253" spans="1:16" x14ac:dyDescent="0.3">
      <c r="A253" s="134"/>
    </row>
    <row r="254" spans="1:16" x14ac:dyDescent="0.3">
      <c r="A254" s="134"/>
    </row>
    <row r="255" spans="1:16" ht="36" x14ac:dyDescent="0.3">
      <c r="A255" s="134"/>
      <c r="B255" s="258" t="str">
        <f>IF('Interfaccia di selezione'!$K$5=0,K259,IF('Interfaccia di selezione'!$K$5=1,K255))</f>
        <v>Modello</v>
      </c>
      <c r="C255" s="175" t="str">
        <f>IF('Interfaccia di selezione'!$K$5=0,L259,IF('Interfaccia di selezione'!$K$5=1,L255))</f>
        <v xml:space="preserve">Livello di pressione sonora 1 m </v>
      </c>
      <c r="D255" s="175" t="str">
        <f>IF('Interfaccia di selezione'!$K$5=0,M259,IF('Interfaccia di selezione'!$K$5=1,M255))</f>
        <v xml:space="preserve">Livello di pressione sonora 5 m </v>
      </c>
      <c r="E255" s="175" t="str">
        <f>IF('Interfaccia di selezione'!$K$5=0,N259,IF('Interfaccia di selezione'!$K$5=1,N255))</f>
        <v xml:space="preserve">Livello di pressione sonora 10 m </v>
      </c>
      <c r="F255" s="175" t="str">
        <f>IF('Interfaccia di selezione'!$K$5=0,O259,IF('Interfaccia di selezione'!$K$5=1,O255))</f>
        <v>Livello di potenza sonora</v>
      </c>
      <c r="K255" s="258" t="s">
        <v>97</v>
      </c>
      <c r="L255" s="175" t="s">
        <v>887</v>
      </c>
      <c r="M255" s="175" t="s">
        <v>888</v>
      </c>
      <c r="N255" s="175" t="s">
        <v>889</v>
      </c>
      <c r="O255" s="175" t="s">
        <v>890</v>
      </c>
    </row>
    <row r="256" spans="1:16" x14ac:dyDescent="0.3">
      <c r="A256" s="134"/>
      <c r="B256" s="259"/>
      <c r="C256" s="175" t="str">
        <f>IF('Interfaccia di selezione'!$K$5=0,L260,IF('Interfaccia di selezione'!$K$5=1,L256))</f>
        <v>dB (A)</v>
      </c>
      <c r="D256" s="175" t="str">
        <f>IF('Interfaccia di selezione'!$K$5=0,M260,IF('Interfaccia di selezione'!$K$5=1,M256))</f>
        <v>dB (A)</v>
      </c>
      <c r="E256" s="175" t="str">
        <f>IF('Interfaccia di selezione'!$K$5=0,N260,IF('Interfaccia di selezione'!$K$5=1,N256))</f>
        <v>dB (A)</v>
      </c>
      <c r="F256" s="175" t="str">
        <f>IF('Interfaccia di selezione'!$K$5=0,O260,IF('Interfaccia di selezione'!$K$5=1,O256))</f>
        <v>dB (A)</v>
      </c>
      <c r="K256" s="259"/>
      <c r="L256" s="175" t="s">
        <v>883</v>
      </c>
      <c r="M256" s="175" t="s">
        <v>883</v>
      </c>
      <c r="N256" s="175" t="s">
        <v>883</v>
      </c>
      <c r="O256" s="175" t="s">
        <v>883</v>
      </c>
    </row>
    <row r="257" spans="1:15" ht="15.6" x14ac:dyDescent="0.3">
      <c r="A257" s="134"/>
      <c r="B257" s="141" t="str">
        <f>IF('Interfaccia di selezione'!$J$5=0,VLOOKUP('Interfaccia di selezione'!$I$5,'Interfaccia di selezione'!$BB$9:$BD$36,2),IF('Interfaccia di selezione'!$J$5=1,VLOOKUP('Interfaccia di selezione'!$I$5,'Interfaccia di selezione'!$BB$9:$BD$36,3), FALSE))</f>
        <v>RT60 W</v>
      </c>
      <c r="C257" s="149">
        <f>VLOOKUP('Interfaccia di selezione'!$I$5,$J$261:$O$288,3)</f>
        <v>61</v>
      </c>
      <c r="D257" s="149">
        <f>VLOOKUP('Interfaccia di selezione'!$I$5,$J$261:$O$288,4)</f>
        <v>47</v>
      </c>
      <c r="E257" s="149">
        <f>VLOOKUP('Interfaccia di selezione'!$I$5,$J$261:$O$288,5)</f>
        <v>41</v>
      </c>
      <c r="F257" s="149">
        <f>VLOOKUP('Interfaccia di selezione'!$I$5,$J$261:$O$288,6)</f>
        <v>69</v>
      </c>
    </row>
    <row r="258" spans="1:15" x14ac:dyDescent="0.3">
      <c r="A258" s="134"/>
    </row>
    <row r="259" spans="1:15" ht="36" x14ac:dyDescent="0.3">
      <c r="A259" s="134"/>
      <c r="K259" s="258" t="s">
        <v>2</v>
      </c>
      <c r="L259" s="175" t="s">
        <v>885</v>
      </c>
      <c r="M259" s="175" t="s">
        <v>886</v>
      </c>
      <c r="N259" s="175" t="s">
        <v>882</v>
      </c>
      <c r="O259" s="175" t="s">
        <v>884</v>
      </c>
    </row>
    <row r="260" spans="1:15" x14ac:dyDescent="0.3">
      <c r="A260" s="134"/>
      <c r="K260" s="259"/>
      <c r="L260" s="175" t="s">
        <v>883</v>
      </c>
      <c r="M260" s="175" t="s">
        <v>883</v>
      </c>
      <c r="N260" s="175" t="s">
        <v>883</v>
      </c>
      <c r="O260" s="175" t="s">
        <v>883</v>
      </c>
    </row>
    <row r="261" spans="1:15" ht="15.6" x14ac:dyDescent="0.3">
      <c r="A261" s="134"/>
      <c r="J261" s="5">
        <v>1</v>
      </c>
      <c r="K261" s="141" t="s">
        <v>72</v>
      </c>
      <c r="L261" s="149">
        <v>55</v>
      </c>
      <c r="M261" s="149">
        <v>41</v>
      </c>
      <c r="N261" s="149">
        <v>35</v>
      </c>
      <c r="O261" s="149">
        <v>63</v>
      </c>
    </row>
    <row r="262" spans="1:15" ht="15.6" x14ac:dyDescent="0.3">
      <c r="A262" s="134"/>
      <c r="J262" s="5">
        <v>2</v>
      </c>
      <c r="K262" s="141" t="s">
        <v>111</v>
      </c>
      <c r="L262" s="149">
        <v>55</v>
      </c>
      <c r="M262" s="149">
        <v>41</v>
      </c>
      <c r="N262" s="149">
        <v>35</v>
      </c>
      <c r="O262" s="149">
        <v>63</v>
      </c>
    </row>
    <row r="263" spans="1:15" ht="15.6" x14ac:dyDescent="0.3">
      <c r="A263" s="134"/>
      <c r="J263" s="5">
        <v>3</v>
      </c>
      <c r="K263" s="141" t="s">
        <v>112</v>
      </c>
      <c r="L263" s="149">
        <v>55</v>
      </c>
      <c r="M263" s="149">
        <v>41</v>
      </c>
      <c r="N263" s="149">
        <v>35</v>
      </c>
      <c r="O263" s="149">
        <v>63</v>
      </c>
    </row>
    <row r="264" spans="1:15" ht="15.6" x14ac:dyDescent="0.3">
      <c r="A264" s="134"/>
      <c r="J264" s="5">
        <v>4</v>
      </c>
      <c r="K264" s="141" t="s">
        <v>113</v>
      </c>
      <c r="L264" s="150">
        <v>58</v>
      </c>
      <c r="M264" s="150">
        <v>44</v>
      </c>
      <c r="N264" s="150">
        <v>38</v>
      </c>
      <c r="O264" s="150">
        <v>66</v>
      </c>
    </row>
    <row r="265" spans="1:15" ht="15.6" x14ac:dyDescent="0.3">
      <c r="A265" s="134"/>
      <c r="J265" s="5">
        <v>5</v>
      </c>
      <c r="K265" s="141" t="s">
        <v>114</v>
      </c>
      <c r="L265" s="150">
        <v>58</v>
      </c>
      <c r="M265" s="150">
        <v>44</v>
      </c>
      <c r="N265" s="150">
        <v>38</v>
      </c>
      <c r="O265" s="150">
        <v>66</v>
      </c>
    </row>
    <row r="266" spans="1:15" ht="15.6" x14ac:dyDescent="0.3">
      <c r="A266" s="134"/>
      <c r="D266" s="151"/>
      <c r="J266" s="5">
        <v>6</v>
      </c>
      <c r="K266" s="141" t="s">
        <v>115</v>
      </c>
      <c r="L266" s="150">
        <v>58</v>
      </c>
      <c r="M266" s="150">
        <v>44</v>
      </c>
      <c r="N266" s="150">
        <v>38</v>
      </c>
      <c r="O266" s="150">
        <v>66</v>
      </c>
    </row>
    <row r="267" spans="1:15" ht="15.6" x14ac:dyDescent="0.3">
      <c r="A267" s="134"/>
      <c r="J267" s="5">
        <v>7</v>
      </c>
      <c r="K267" s="141" t="s">
        <v>116</v>
      </c>
      <c r="L267" s="150">
        <v>61</v>
      </c>
      <c r="M267" s="150">
        <v>47</v>
      </c>
      <c r="N267" s="150">
        <v>41</v>
      </c>
      <c r="O267" s="150">
        <v>69</v>
      </c>
    </row>
    <row r="268" spans="1:15" ht="15.6" x14ac:dyDescent="0.3">
      <c r="A268" s="134"/>
      <c r="J268" s="5">
        <v>8</v>
      </c>
      <c r="K268" s="141" t="s">
        <v>117</v>
      </c>
      <c r="L268" s="150">
        <v>61</v>
      </c>
      <c r="M268" s="150">
        <v>47</v>
      </c>
      <c r="N268" s="150">
        <v>41</v>
      </c>
      <c r="O268" s="150">
        <v>69</v>
      </c>
    </row>
    <row r="269" spans="1:15" ht="15.6" x14ac:dyDescent="0.3">
      <c r="A269" s="134"/>
      <c r="J269" s="5">
        <v>9</v>
      </c>
      <c r="K269" s="141" t="s">
        <v>118</v>
      </c>
      <c r="L269" s="150">
        <v>61</v>
      </c>
      <c r="M269" s="150">
        <v>47</v>
      </c>
      <c r="N269" s="150">
        <v>41</v>
      </c>
      <c r="O269" s="150">
        <v>69</v>
      </c>
    </row>
    <row r="270" spans="1:15" ht="15.6" x14ac:dyDescent="0.3">
      <c r="A270" s="134"/>
      <c r="J270" s="5">
        <v>10</v>
      </c>
      <c r="K270" s="141" t="s">
        <v>119</v>
      </c>
      <c r="L270" s="150">
        <v>61</v>
      </c>
      <c r="M270" s="150">
        <v>47</v>
      </c>
      <c r="N270" s="150">
        <v>41</v>
      </c>
      <c r="O270" s="150">
        <v>69</v>
      </c>
    </row>
    <row r="271" spans="1:15" ht="15.6" x14ac:dyDescent="0.3">
      <c r="A271" s="134"/>
      <c r="J271" s="5">
        <v>11</v>
      </c>
      <c r="K271" s="141" t="s">
        <v>120</v>
      </c>
      <c r="L271" s="150">
        <v>63</v>
      </c>
      <c r="M271" s="150">
        <v>49</v>
      </c>
      <c r="N271" s="150">
        <v>43</v>
      </c>
      <c r="O271" s="150">
        <v>71</v>
      </c>
    </row>
    <row r="272" spans="1:15" ht="15.6" x14ac:dyDescent="0.3">
      <c r="A272" s="134"/>
      <c r="J272" s="5">
        <v>12</v>
      </c>
      <c r="K272" s="141" t="s">
        <v>121</v>
      </c>
      <c r="L272" s="150">
        <v>64</v>
      </c>
      <c r="M272" s="150">
        <v>50</v>
      </c>
      <c r="N272" s="150">
        <v>44</v>
      </c>
      <c r="O272" s="150">
        <v>72</v>
      </c>
    </row>
    <row r="273" spans="1:15" ht="15.6" x14ac:dyDescent="0.3">
      <c r="A273" s="134"/>
      <c r="J273" s="5">
        <v>13</v>
      </c>
      <c r="K273" s="141" t="s">
        <v>122</v>
      </c>
      <c r="L273" s="150">
        <v>64</v>
      </c>
      <c r="M273" s="150">
        <v>50</v>
      </c>
      <c r="N273" s="150">
        <v>44</v>
      </c>
      <c r="O273" s="150">
        <v>72</v>
      </c>
    </row>
    <row r="274" spans="1:15" ht="15.6" x14ac:dyDescent="0.3">
      <c r="A274" s="134"/>
      <c r="J274" s="5">
        <v>14</v>
      </c>
      <c r="K274" s="141" t="s">
        <v>123</v>
      </c>
      <c r="L274" s="150">
        <v>61</v>
      </c>
      <c r="M274" s="150">
        <v>47</v>
      </c>
      <c r="N274" s="150">
        <v>41</v>
      </c>
      <c r="O274" s="150">
        <v>69</v>
      </c>
    </row>
    <row r="275" spans="1:15" ht="15.6" x14ac:dyDescent="0.3">
      <c r="A275" s="134"/>
      <c r="J275" s="5">
        <v>15</v>
      </c>
      <c r="K275" s="141" t="s">
        <v>124</v>
      </c>
      <c r="L275" s="150">
        <v>66</v>
      </c>
      <c r="M275" s="150">
        <v>52</v>
      </c>
      <c r="N275" s="150">
        <v>46</v>
      </c>
      <c r="O275" s="150">
        <v>74</v>
      </c>
    </row>
    <row r="276" spans="1:15" ht="15.6" x14ac:dyDescent="0.3">
      <c r="A276" s="134"/>
      <c r="J276" s="5">
        <v>16</v>
      </c>
      <c r="K276" s="141" t="s">
        <v>126</v>
      </c>
      <c r="L276" s="150">
        <v>64</v>
      </c>
      <c r="M276" s="150">
        <v>50</v>
      </c>
      <c r="N276" s="150">
        <v>44</v>
      </c>
      <c r="O276" s="150">
        <v>72</v>
      </c>
    </row>
    <row r="277" spans="1:15" ht="15.6" x14ac:dyDescent="0.3">
      <c r="A277" s="134"/>
      <c r="J277" s="5">
        <v>17</v>
      </c>
      <c r="K277" s="141" t="s">
        <v>127</v>
      </c>
      <c r="L277" s="150">
        <v>67</v>
      </c>
      <c r="M277" s="150">
        <v>53</v>
      </c>
      <c r="N277" s="150">
        <v>47</v>
      </c>
      <c r="O277" s="150">
        <v>75</v>
      </c>
    </row>
    <row r="278" spans="1:15" ht="15.6" x14ac:dyDescent="0.3">
      <c r="A278" s="134"/>
      <c r="J278" s="5">
        <v>18</v>
      </c>
      <c r="K278" s="141" t="s">
        <v>128</v>
      </c>
      <c r="L278" s="150">
        <v>67</v>
      </c>
      <c r="M278" s="150">
        <v>53</v>
      </c>
      <c r="N278" s="150">
        <v>47</v>
      </c>
      <c r="O278" s="150">
        <v>75</v>
      </c>
    </row>
    <row r="279" spans="1:15" ht="15.6" x14ac:dyDescent="0.3">
      <c r="A279" s="134"/>
      <c r="J279" s="5">
        <v>19</v>
      </c>
      <c r="K279" s="141" t="s">
        <v>129</v>
      </c>
      <c r="L279" s="150">
        <v>67</v>
      </c>
      <c r="M279" s="150">
        <v>53</v>
      </c>
      <c r="N279" s="150">
        <v>47</v>
      </c>
      <c r="O279" s="150">
        <v>75</v>
      </c>
    </row>
    <row r="280" spans="1:15" ht="15.6" x14ac:dyDescent="0.3">
      <c r="A280" s="134"/>
      <c r="J280" s="5">
        <v>20</v>
      </c>
      <c r="K280" s="141" t="s">
        <v>125</v>
      </c>
      <c r="L280" s="150">
        <v>75.5</v>
      </c>
      <c r="M280" s="150">
        <v>61</v>
      </c>
      <c r="N280" s="150">
        <v>55.5</v>
      </c>
      <c r="O280" s="150">
        <v>83.5</v>
      </c>
    </row>
    <row r="281" spans="1:15" ht="15.6" x14ac:dyDescent="0.3">
      <c r="A281" s="134"/>
      <c r="J281" s="5">
        <v>21</v>
      </c>
      <c r="K281" s="141" t="s">
        <v>130</v>
      </c>
      <c r="L281" s="150">
        <v>74.400000000000006</v>
      </c>
      <c r="M281" s="150">
        <v>60</v>
      </c>
      <c r="N281" s="150">
        <v>54.400000000000006</v>
      </c>
      <c r="O281" s="150">
        <v>82.4</v>
      </c>
    </row>
    <row r="282" spans="1:15" ht="15.6" x14ac:dyDescent="0.3">
      <c r="A282" s="134"/>
      <c r="J282" s="5">
        <v>22</v>
      </c>
      <c r="K282" s="141" t="s">
        <v>131</v>
      </c>
      <c r="L282" s="150">
        <v>74.400000000000006</v>
      </c>
      <c r="M282" s="150">
        <v>60</v>
      </c>
      <c r="N282" s="150">
        <v>54.400000000000006</v>
      </c>
      <c r="O282" s="150">
        <v>82.4</v>
      </c>
    </row>
    <row r="283" spans="1:15" ht="15.6" x14ac:dyDescent="0.3">
      <c r="A283" s="134"/>
      <c r="J283" s="5">
        <v>23</v>
      </c>
      <c r="K283" s="141" t="s">
        <v>132</v>
      </c>
      <c r="L283" s="150">
        <v>74.400000000000006</v>
      </c>
      <c r="M283" s="150">
        <v>60</v>
      </c>
      <c r="N283" s="150">
        <v>54.400000000000006</v>
      </c>
      <c r="O283" s="150">
        <v>82.4</v>
      </c>
    </row>
    <row r="284" spans="1:15" ht="15.6" x14ac:dyDescent="0.3">
      <c r="A284" s="134"/>
      <c r="J284" s="5">
        <v>24</v>
      </c>
      <c r="K284" s="141" t="s">
        <v>133</v>
      </c>
      <c r="L284" s="150">
        <v>77.3</v>
      </c>
      <c r="M284" s="150">
        <v>63</v>
      </c>
      <c r="N284" s="150">
        <v>57.3</v>
      </c>
      <c r="O284" s="150">
        <v>85.3</v>
      </c>
    </row>
    <row r="285" spans="1:15" ht="15.6" x14ac:dyDescent="0.3">
      <c r="A285" s="134"/>
      <c r="J285" s="5">
        <v>25</v>
      </c>
      <c r="K285" s="141" t="s">
        <v>134</v>
      </c>
      <c r="L285" s="149">
        <v>83</v>
      </c>
      <c r="M285" s="149">
        <v>69</v>
      </c>
      <c r="N285" s="149">
        <v>64</v>
      </c>
      <c r="O285" s="149">
        <v>91</v>
      </c>
    </row>
    <row r="286" spans="1:15" ht="15.6" x14ac:dyDescent="0.3">
      <c r="A286" s="134"/>
      <c r="J286" s="5">
        <v>26</v>
      </c>
      <c r="K286" s="141" t="s">
        <v>135</v>
      </c>
      <c r="L286" s="149">
        <v>78</v>
      </c>
      <c r="M286" s="149">
        <v>64</v>
      </c>
      <c r="N286" s="149">
        <v>58</v>
      </c>
      <c r="O286" s="149">
        <v>86</v>
      </c>
    </row>
    <row r="287" spans="1:15" ht="15.6" x14ac:dyDescent="0.3">
      <c r="A287" s="134"/>
      <c r="J287" s="5">
        <v>27</v>
      </c>
      <c r="K287" s="141" t="s">
        <v>136</v>
      </c>
      <c r="L287" s="149">
        <v>78</v>
      </c>
      <c r="M287" s="149">
        <v>64</v>
      </c>
      <c r="N287" s="149">
        <v>58</v>
      </c>
      <c r="O287" s="149">
        <v>86</v>
      </c>
    </row>
    <row r="288" spans="1:15" ht="15.6" x14ac:dyDescent="0.3">
      <c r="A288" s="134"/>
      <c r="J288" s="5">
        <v>28</v>
      </c>
      <c r="K288" s="141" t="s">
        <v>137</v>
      </c>
      <c r="L288" s="149">
        <v>78</v>
      </c>
      <c r="M288" s="149">
        <v>64</v>
      </c>
      <c r="N288" s="149">
        <v>58</v>
      </c>
      <c r="O288" s="149">
        <v>86</v>
      </c>
    </row>
    <row r="289" spans="1:21" ht="15.6" x14ac:dyDescent="0.3">
      <c r="A289" s="134"/>
      <c r="J289" s="5">
        <v>29</v>
      </c>
      <c r="K289" s="1" t="s">
        <v>1554</v>
      </c>
      <c r="L289" s="200">
        <v>81</v>
      </c>
      <c r="M289" s="200">
        <v>67</v>
      </c>
      <c r="N289" s="200">
        <v>61</v>
      </c>
      <c r="O289" s="201"/>
    </row>
    <row r="290" spans="1:21" s="137" customFormat="1" ht="15" thickBot="1" x14ac:dyDescent="0.35">
      <c r="A290" s="136"/>
    </row>
    <row r="292" spans="1:21" x14ac:dyDescent="0.3">
      <c r="B292" s="246" t="str">
        <f>IF('Interfaccia di selezione'!$K$5=0,K297,IF('Interfaccia di selezione'!$K$5=1,K293))</f>
        <v>DISTANZE DI RISPETTO - UNITA PRINCIPALE</v>
      </c>
      <c r="C292" s="247"/>
      <c r="D292" s="247"/>
      <c r="E292" s="247"/>
      <c r="F292" s="247"/>
      <c r="G292" s="248"/>
    </row>
    <row r="293" spans="1:21" x14ac:dyDescent="0.3">
      <c r="B293" s="258" t="str">
        <f>IF('Interfaccia di selezione'!$K$5=0,K298,IF('Interfaccia di selezione'!$K$5=1,K294))</f>
        <v>Modello</v>
      </c>
      <c r="C293" s="175" t="s">
        <v>891</v>
      </c>
      <c r="D293" s="175" t="s">
        <v>892</v>
      </c>
      <c r="E293" s="175" t="s">
        <v>893</v>
      </c>
      <c r="F293" s="175" t="s">
        <v>894</v>
      </c>
      <c r="G293" s="175" t="s">
        <v>895</v>
      </c>
      <c r="K293" s="246" t="s">
        <v>897</v>
      </c>
      <c r="L293" s="247"/>
      <c r="M293" s="247"/>
      <c r="N293" s="247"/>
      <c r="O293" s="247"/>
      <c r="P293" s="248"/>
    </row>
    <row r="294" spans="1:21" x14ac:dyDescent="0.3">
      <c r="B294" s="259"/>
      <c r="C294" s="175" t="s">
        <v>9</v>
      </c>
      <c r="D294" s="175" t="s">
        <v>9</v>
      </c>
      <c r="E294" s="175" t="s">
        <v>9</v>
      </c>
      <c r="F294" s="175" t="s">
        <v>9</v>
      </c>
      <c r="G294" s="175" t="s">
        <v>9</v>
      </c>
      <c r="K294" s="258" t="s">
        <v>97</v>
      </c>
      <c r="L294" s="175" t="s">
        <v>891</v>
      </c>
      <c r="M294" s="175" t="s">
        <v>892</v>
      </c>
      <c r="N294" s="175" t="s">
        <v>893</v>
      </c>
      <c r="O294" s="175" t="s">
        <v>894</v>
      </c>
      <c r="P294" s="175" t="s">
        <v>895</v>
      </c>
    </row>
    <row r="295" spans="1:21" ht="15.6" x14ac:dyDescent="0.3">
      <c r="B295" s="141" t="str">
        <f>IF('Interfaccia di selezione'!$J$5=0,VLOOKUP('Interfaccia di selezione'!$I$5,'Interfaccia di selezione'!$BB$9:$BD$36,2),IF('Interfaccia di selezione'!$J$5=1,VLOOKUP('Interfaccia di selezione'!$I$5,'Interfaccia di selezione'!$BB$9:$BD$36,3), FALSE))</f>
        <v>RT60 W</v>
      </c>
      <c r="C295" s="152">
        <f>VLOOKUP('Interfaccia di selezione'!$I$5,$J$300:$P$327,3)</f>
        <v>500</v>
      </c>
      <c r="D295" s="152">
        <f>VLOOKUP('Interfaccia di selezione'!$I$5,$J$300:$P$327,4)</f>
        <v>600</v>
      </c>
      <c r="E295" s="152">
        <f>VLOOKUP('Interfaccia di selezione'!$I$5,$J$300:$P$327,5)</f>
        <v>600</v>
      </c>
      <c r="F295" s="152">
        <f>VLOOKUP('Interfaccia di selezione'!$I$5,$J$300:$P$327,6)</f>
        <v>500</v>
      </c>
      <c r="G295" s="152">
        <f>VLOOKUP('Interfaccia di selezione'!$I$5,$J$300:$P$327,7)</f>
        <v>500</v>
      </c>
      <c r="K295" s="259"/>
      <c r="L295" s="175" t="s">
        <v>9</v>
      </c>
      <c r="M295" s="175" t="s">
        <v>9</v>
      </c>
      <c r="N295" s="175" t="s">
        <v>9</v>
      </c>
      <c r="O295" s="175" t="s">
        <v>9</v>
      </c>
      <c r="P295" s="175" t="s">
        <v>9</v>
      </c>
    </row>
    <row r="297" spans="1:21" ht="19.5" customHeight="1" x14ac:dyDescent="0.3">
      <c r="B297" s="246" t="str">
        <f>IF('Interfaccia di selezione'!$K$5=0,K335,IF('Interfaccia di selezione'!$K$5=1,K330))</f>
        <v>DISTANZE DI RISPETTO - UNITA ESTERNA</v>
      </c>
      <c r="C297" s="247"/>
      <c r="D297" s="247"/>
      <c r="E297" s="247"/>
      <c r="F297" s="247"/>
      <c r="G297" s="248"/>
      <c r="K297" s="246" t="s">
        <v>896</v>
      </c>
      <c r="L297" s="247"/>
      <c r="M297" s="247"/>
      <c r="N297" s="247"/>
      <c r="O297" s="247"/>
      <c r="P297" s="248"/>
    </row>
    <row r="298" spans="1:21" x14ac:dyDescent="0.3">
      <c r="B298" s="258" t="str">
        <f>IF('Interfaccia di selezione'!$K$5=0,K336,IF('Interfaccia di selezione'!$K$5=1,K331))</f>
        <v>Modello</v>
      </c>
      <c r="C298" s="175" t="s">
        <v>891</v>
      </c>
      <c r="D298" s="175" t="s">
        <v>892</v>
      </c>
      <c r="E298" s="175" t="s">
        <v>893</v>
      </c>
      <c r="F298" s="175" t="s">
        <v>894</v>
      </c>
      <c r="G298" s="175" t="s">
        <v>895</v>
      </c>
      <c r="K298" s="258" t="s">
        <v>2</v>
      </c>
      <c r="L298" s="175" t="s">
        <v>891</v>
      </c>
      <c r="M298" s="175" t="s">
        <v>892</v>
      </c>
      <c r="N298" s="175" t="s">
        <v>893</v>
      </c>
      <c r="O298" s="175" t="s">
        <v>894</v>
      </c>
      <c r="P298" s="175" t="s">
        <v>895</v>
      </c>
    </row>
    <row r="299" spans="1:21" x14ac:dyDescent="0.3">
      <c r="B299" s="259"/>
      <c r="C299" s="175" t="s">
        <v>9</v>
      </c>
      <c r="D299" s="175" t="s">
        <v>9</v>
      </c>
      <c r="E299" s="175" t="s">
        <v>9</v>
      </c>
      <c r="F299" s="175" t="s">
        <v>9</v>
      </c>
      <c r="G299" s="175" t="s">
        <v>9</v>
      </c>
      <c r="K299" s="259"/>
      <c r="L299" s="175" t="s">
        <v>9</v>
      </c>
      <c r="M299" s="175" t="s">
        <v>9</v>
      </c>
      <c r="N299" s="175" t="s">
        <v>9</v>
      </c>
      <c r="O299" s="175" t="s">
        <v>9</v>
      </c>
      <c r="P299" s="175" t="s">
        <v>9</v>
      </c>
      <c r="Q299" s="223"/>
      <c r="R299" s="223"/>
      <c r="S299" s="223"/>
      <c r="T299" s="223"/>
      <c r="U299" s="223"/>
    </row>
    <row r="300" spans="1:21" ht="15.6" x14ac:dyDescent="0.3">
      <c r="B300" s="141" t="str">
        <f>IF('Interfaccia di selezione'!$J$5=0,VLOOKUP('Interfaccia di selezione'!$I$5,'Interfaccia di selezione'!$BB$9:$BD$36,2),IF('Interfaccia di selezione'!$J$5=1,VLOOKUP('Interfaccia di selezione'!$I$5,'Interfaccia di selezione'!$BB$9:$BD$36,3), FALSE))</f>
        <v>RT60 W</v>
      </c>
      <c r="C300" s="152">
        <v>500</v>
      </c>
      <c r="D300" s="152">
        <v>500</v>
      </c>
      <c r="E300" s="153">
        <v>500</v>
      </c>
      <c r="F300" s="152">
        <v>150</v>
      </c>
      <c r="G300" s="152">
        <v>2000</v>
      </c>
      <c r="J300" s="5">
        <v>1</v>
      </c>
      <c r="K300" s="141" t="s">
        <v>72</v>
      </c>
      <c r="L300" s="152">
        <v>500</v>
      </c>
      <c r="M300" s="152">
        <v>600</v>
      </c>
      <c r="N300" s="152">
        <v>600</v>
      </c>
      <c r="O300" s="152">
        <v>500</v>
      </c>
      <c r="P300" s="152">
        <v>500</v>
      </c>
    </row>
    <row r="301" spans="1:21" ht="15.6" x14ac:dyDescent="0.3">
      <c r="J301" s="5">
        <v>2</v>
      </c>
      <c r="K301" s="141" t="s">
        <v>111</v>
      </c>
      <c r="L301" s="152">
        <v>500</v>
      </c>
      <c r="M301" s="152">
        <v>600</v>
      </c>
      <c r="N301" s="152">
        <v>600</v>
      </c>
      <c r="O301" s="152">
        <v>500</v>
      </c>
      <c r="P301" s="152">
        <v>500</v>
      </c>
    </row>
    <row r="302" spans="1:21" ht="15.6" x14ac:dyDescent="0.3">
      <c r="J302" s="5">
        <v>3</v>
      </c>
      <c r="K302" s="141" t="s">
        <v>112</v>
      </c>
      <c r="L302" s="152">
        <v>500</v>
      </c>
      <c r="M302" s="152">
        <v>600</v>
      </c>
      <c r="N302" s="152">
        <v>600</v>
      </c>
      <c r="O302" s="152">
        <v>500</v>
      </c>
      <c r="P302" s="152">
        <v>500</v>
      </c>
    </row>
    <row r="303" spans="1:21" ht="15.6" x14ac:dyDescent="0.3">
      <c r="J303" s="5">
        <v>4</v>
      </c>
      <c r="K303" s="141" t="s">
        <v>113</v>
      </c>
      <c r="L303" s="152">
        <v>500</v>
      </c>
      <c r="M303" s="152">
        <v>600</v>
      </c>
      <c r="N303" s="152">
        <v>600</v>
      </c>
      <c r="O303" s="152">
        <v>500</v>
      </c>
      <c r="P303" s="152">
        <v>500</v>
      </c>
    </row>
    <row r="304" spans="1:21" ht="15.6" x14ac:dyDescent="0.3">
      <c r="J304" s="5">
        <v>5</v>
      </c>
      <c r="K304" s="141" t="s">
        <v>114</v>
      </c>
      <c r="L304" s="152">
        <v>500</v>
      </c>
      <c r="M304" s="152">
        <v>600</v>
      </c>
      <c r="N304" s="152">
        <v>600</v>
      </c>
      <c r="O304" s="152">
        <v>500</v>
      </c>
      <c r="P304" s="152">
        <v>500</v>
      </c>
    </row>
    <row r="305" spans="10:21" ht="15.6" x14ac:dyDescent="0.3">
      <c r="J305" s="5">
        <v>6</v>
      </c>
      <c r="K305" s="141" t="s">
        <v>115</v>
      </c>
      <c r="L305" s="152">
        <v>500</v>
      </c>
      <c r="M305" s="152">
        <v>600</v>
      </c>
      <c r="N305" s="152">
        <v>600</v>
      </c>
      <c r="O305" s="152">
        <v>500</v>
      </c>
      <c r="P305" s="152">
        <v>500</v>
      </c>
    </row>
    <row r="306" spans="10:21" ht="15.6" x14ac:dyDescent="0.3">
      <c r="J306" s="5">
        <v>7</v>
      </c>
      <c r="K306" s="141" t="s">
        <v>116</v>
      </c>
      <c r="L306" s="152">
        <v>500</v>
      </c>
      <c r="M306" s="152">
        <v>600</v>
      </c>
      <c r="N306" s="152">
        <v>600</v>
      </c>
      <c r="O306" s="152">
        <v>500</v>
      </c>
      <c r="P306" s="152">
        <v>500</v>
      </c>
    </row>
    <row r="307" spans="10:21" ht="15.6" x14ac:dyDescent="0.3">
      <c r="J307" s="5">
        <v>8</v>
      </c>
      <c r="K307" s="141" t="s">
        <v>117</v>
      </c>
      <c r="L307" s="152">
        <v>500</v>
      </c>
      <c r="M307" s="152">
        <v>600</v>
      </c>
      <c r="N307" s="152">
        <v>600</v>
      </c>
      <c r="O307" s="152">
        <v>500</v>
      </c>
      <c r="P307" s="152">
        <v>500</v>
      </c>
    </row>
    <row r="308" spans="10:21" ht="15.6" x14ac:dyDescent="0.3">
      <c r="J308" s="5">
        <v>9</v>
      </c>
      <c r="K308" s="141" t="s">
        <v>118</v>
      </c>
      <c r="L308" s="152">
        <v>500</v>
      </c>
      <c r="M308" s="152">
        <v>600</v>
      </c>
      <c r="N308" s="152">
        <v>600</v>
      </c>
      <c r="O308" s="152">
        <v>500</v>
      </c>
      <c r="P308" s="152">
        <v>500</v>
      </c>
      <c r="Q308" s="223"/>
      <c r="R308" s="223"/>
    </row>
    <row r="309" spans="10:21" ht="15.6" x14ac:dyDescent="0.3">
      <c r="J309" s="5">
        <v>10</v>
      </c>
      <c r="K309" s="141" t="s">
        <v>119</v>
      </c>
      <c r="L309" s="152">
        <v>500</v>
      </c>
      <c r="M309" s="152">
        <v>600</v>
      </c>
      <c r="N309" s="152">
        <v>600</v>
      </c>
      <c r="O309" s="152">
        <v>500</v>
      </c>
      <c r="P309" s="152">
        <v>500</v>
      </c>
    </row>
    <row r="310" spans="10:21" ht="15.6" x14ac:dyDescent="0.3">
      <c r="J310" s="5">
        <v>11</v>
      </c>
      <c r="K310" s="141" t="s">
        <v>120</v>
      </c>
      <c r="L310" s="152">
        <v>500</v>
      </c>
      <c r="M310" s="152">
        <v>600</v>
      </c>
      <c r="N310" s="152">
        <v>600</v>
      </c>
      <c r="O310" s="152">
        <v>500</v>
      </c>
      <c r="P310" s="152">
        <v>1000</v>
      </c>
    </row>
    <row r="311" spans="10:21" ht="15.6" x14ac:dyDescent="0.3">
      <c r="J311" s="5">
        <v>12</v>
      </c>
      <c r="K311" s="141" t="s">
        <v>121</v>
      </c>
      <c r="L311" s="152">
        <v>500</v>
      </c>
      <c r="M311" s="152">
        <v>600</v>
      </c>
      <c r="N311" s="152">
        <v>600</v>
      </c>
      <c r="O311" s="152">
        <v>500</v>
      </c>
      <c r="P311" s="152">
        <v>1000</v>
      </c>
    </row>
    <row r="312" spans="10:21" ht="15.6" x14ac:dyDescent="0.3">
      <c r="J312" s="5">
        <v>13</v>
      </c>
      <c r="K312" s="141" t="s">
        <v>122</v>
      </c>
      <c r="L312" s="152">
        <v>500</v>
      </c>
      <c r="M312" s="152">
        <v>600</v>
      </c>
      <c r="N312" s="152">
        <v>600</v>
      </c>
      <c r="O312" s="152">
        <v>500</v>
      </c>
      <c r="P312" s="152">
        <v>1000</v>
      </c>
    </row>
    <row r="313" spans="10:21" ht="15.6" x14ac:dyDescent="0.3">
      <c r="J313" s="5">
        <v>14</v>
      </c>
      <c r="K313" s="141" t="s">
        <v>123</v>
      </c>
      <c r="L313" s="152">
        <v>500</v>
      </c>
      <c r="M313" s="152">
        <v>600</v>
      </c>
      <c r="N313" s="152">
        <v>600</v>
      </c>
      <c r="O313" s="152">
        <v>500</v>
      </c>
      <c r="P313" s="152">
        <v>1000</v>
      </c>
    </row>
    <row r="314" spans="10:21" ht="15.6" x14ac:dyDescent="0.3">
      <c r="J314" s="5">
        <v>15</v>
      </c>
      <c r="K314" s="141" t="s">
        <v>124</v>
      </c>
      <c r="L314" s="152">
        <v>500</v>
      </c>
      <c r="M314" s="152">
        <v>600</v>
      </c>
      <c r="N314" s="152">
        <v>600</v>
      </c>
      <c r="O314" s="152">
        <v>500</v>
      </c>
      <c r="P314" s="152">
        <v>1000</v>
      </c>
    </row>
    <row r="315" spans="10:21" ht="15.6" x14ac:dyDescent="0.3">
      <c r="J315" s="5">
        <v>16</v>
      </c>
      <c r="K315" s="141" t="s">
        <v>126</v>
      </c>
      <c r="L315" s="152">
        <v>500</v>
      </c>
      <c r="M315" s="152">
        <v>600</v>
      </c>
      <c r="N315" s="152">
        <v>600</v>
      </c>
      <c r="O315" s="152">
        <v>500</v>
      </c>
      <c r="P315" s="152">
        <v>1000</v>
      </c>
      <c r="Q315" s="223"/>
      <c r="R315" s="223"/>
      <c r="S315" s="223"/>
      <c r="T315" s="223"/>
      <c r="U315" s="223"/>
    </row>
    <row r="316" spans="10:21" ht="15.6" x14ac:dyDescent="0.3">
      <c r="J316" s="5">
        <v>17</v>
      </c>
      <c r="K316" s="141" t="s">
        <v>127</v>
      </c>
      <c r="L316" s="153">
        <v>150</v>
      </c>
      <c r="M316" s="153">
        <v>800</v>
      </c>
      <c r="N316" s="153">
        <v>800</v>
      </c>
      <c r="O316" s="153">
        <v>1000</v>
      </c>
      <c r="P316" s="153">
        <v>1000</v>
      </c>
    </row>
    <row r="317" spans="10:21" ht="15.6" x14ac:dyDescent="0.3">
      <c r="J317" s="5">
        <v>18</v>
      </c>
      <c r="K317" s="141" t="s">
        <v>128</v>
      </c>
      <c r="L317" s="153">
        <v>150</v>
      </c>
      <c r="M317" s="153">
        <v>800</v>
      </c>
      <c r="N317" s="153">
        <v>800</v>
      </c>
      <c r="O317" s="153">
        <v>1000</v>
      </c>
      <c r="P317" s="153">
        <v>1000</v>
      </c>
    </row>
    <row r="318" spans="10:21" ht="15.6" x14ac:dyDescent="0.3">
      <c r="J318" s="5">
        <v>19</v>
      </c>
      <c r="K318" s="141" t="s">
        <v>129</v>
      </c>
      <c r="L318" s="153">
        <v>150</v>
      </c>
      <c r="M318" s="153">
        <v>800</v>
      </c>
      <c r="N318" s="153">
        <v>800</v>
      </c>
      <c r="O318" s="153">
        <v>1000</v>
      </c>
      <c r="P318" s="153">
        <v>1000</v>
      </c>
    </row>
    <row r="319" spans="10:21" ht="15.6" x14ac:dyDescent="0.3">
      <c r="J319" s="5">
        <v>20</v>
      </c>
      <c r="K319" s="141" t="s">
        <v>125</v>
      </c>
      <c r="L319" s="153">
        <v>150</v>
      </c>
      <c r="M319" s="153">
        <v>800</v>
      </c>
      <c r="N319" s="153">
        <v>800</v>
      </c>
      <c r="O319" s="153">
        <v>1000</v>
      </c>
      <c r="P319" s="153">
        <v>1000</v>
      </c>
    </row>
    <row r="320" spans="10:21" ht="15.6" x14ac:dyDescent="0.3">
      <c r="J320" s="5">
        <v>21</v>
      </c>
      <c r="K320" s="141" t="s">
        <v>130</v>
      </c>
      <c r="L320" s="153">
        <v>150</v>
      </c>
      <c r="M320" s="153">
        <v>800</v>
      </c>
      <c r="N320" s="153">
        <v>800</v>
      </c>
      <c r="O320" s="153">
        <v>1000</v>
      </c>
      <c r="P320" s="153">
        <v>1000</v>
      </c>
    </row>
    <row r="321" spans="10:18" ht="15.6" x14ac:dyDescent="0.3">
      <c r="J321" s="5">
        <v>22</v>
      </c>
      <c r="K321" s="141" t="s">
        <v>131</v>
      </c>
      <c r="L321" s="153">
        <v>150</v>
      </c>
      <c r="M321" s="153">
        <v>800</v>
      </c>
      <c r="N321" s="153">
        <v>800</v>
      </c>
      <c r="O321" s="153">
        <v>1000</v>
      </c>
      <c r="P321" s="153">
        <v>1000</v>
      </c>
    </row>
    <row r="322" spans="10:18" ht="15.6" x14ac:dyDescent="0.3">
      <c r="J322" s="5">
        <v>23</v>
      </c>
      <c r="K322" s="141" t="s">
        <v>132</v>
      </c>
      <c r="L322" s="153">
        <v>150</v>
      </c>
      <c r="M322" s="153">
        <v>800</v>
      </c>
      <c r="N322" s="153">
        <v>800</v>
      </c>
      <c r="O322" s="153">
        <v>1000</v>
      </c>
      <c r="P322" s="153">
        <v>1000</v>
      </c>
    </row>
    <row r="323" spans="10:18" ht="15.6" x14ac:dyDescent="0.3">
      <c r="J323" s="5">
        <v>24</v>
      </c>
      <c r="K323" s="141" t="s">
        <v>133</v>
      </c>
      <c r="L323" s="153">
        <v>150</v>
      </c>
      <c r="M323" s="153">
        <v>800</v>
      </c>
      <c r="N323" s="153">
        <v>800</v>
      </c>
      <c r="O323" s="153">
        <v>1000</v>
      </c>
      <c r="P323" s="153">
        <v>1000</v>
      </c>
    </row>
    <row r="324" spans="10:18" ht="15.6" x14ac:dyDescent="0.3">
      <c r="J324" s="5">
        <v>25</v>
      </c>
      <c r="K324" s="141" t="s">
        <v>134</v>
      </c>
      <c r="L324" s="153">
        <v>1000</v>
      </c>
      <c r="M324" s="153">
        <v>1000</v>
      </c>
      <c r="N324" s="153">
        <v>1000</v>
      </c>
      <c r="O324" s="153">
        <v>100</v>
      </c>
      <c r="P324" s="153">
        <v>800</v>
      </c>
      <c r="Q324" s="223"/>
      <c r="R324" s="223"/>
    </row>
    <row r="325" spans="10:18" ht="15.6" x14ac:dyDescent="0.3">
      <c r="J325" s="5">
        <v>26</v>
      </c>
      <c r="K325" s="141" t="s">
        <v>135</v>
      </c>
      <c r="L325" s="153">
        <v>150</v>
      </c>
      <c r="M325" s="153">
        <v>800</v>
      </c>
      <c r="N325" s="153">
        <v>800</v>
      </c>
      <c r="O325" s="153">
        <v>1000</v>
      </c>
      <c r="P325" s="153">
        <v>1000</v>
      </c>
    </row>
    <row r="326" spans="10:18" ht="15.6" x14ac:dyDescent="0.3">
      <c r="J326" s="5">
        <v>27</v>
      </c>
      <c r="K326" s="141" t="s">
        <v>136</v>
      </c>
      <c r="L326" s="153">
        <v>150</v>
      </c>
      <c r="M326" s="153">
        <v>800</v>
      </c>
      <c r="N326" s="153">
        <v>800</v>
      </c>
      <c r="O326" s="153">
        <v>1000</v>
      </c>
      <c r="P326" s="153">
        <v>1000</v>
      </c>
    </row>
    <row r="327" spans="10:18" ht="15.6" x14ac:dyDescent="0.3">
      <c r="J327" s="5">
        <v>28</v>
      </c>
      <c r="K327" s="141" t="s">
        <v>137</v>
      </c>
      <c r="L327" s="153">
        <v>150</v>
      </c>
      <c r="M327" s="153">
        <v>800</v>
      </c>
      <c r="N327" s="153">
        <v>800</v>
      </c>
      <c r="O327" s="153">
        <v>1000</v>
      </c>
      <c r="P327" s="153">
        <v>1000</v>
      </c>
    </row>
    <row r="328" spans="10:18" ht="15.6" x14ac:dyDescent="0.3">
      <c r="J328" s="5">
        <v>29</v>
      </c>
      <c r="K328" s="1" t="s">
        <v>1554</v>
      </c>
      <c r="L328" s="153">
        <v>150</v>
      </c>
      <c r="M328" s="153">
        <v>800</v>
      </c>
      <c r="N328" s="153">
        <v>800</v>
      </c>
      <c r="O328" s="153">
        <v>1000</v>
      </c>
      <c r="P328" s="153">
        <v>1000</v>
      </c>
    </row>
    <row r="330" spans="10:18" x14ac:dyDescent="0.3">
      <c r="K330" s="246" t="s">
        <v>899</v>
      </c>
      <c r="L330" s="247"/>
      <c r="M330" s="247"/>
      <c r="N330" s="247"/>
      <c r="O330" s="247"/>
      <c r="P330" s="248"/>
    </row>
    <row r="331" spans="10:18" x14ac:dyDescent="0.3">
      <c r="K331" s="258" t="s">
        <v>97</v>
      </c>
      <c r="L331" s="175" t="s">
        <v>891</v>
      </c>
      <c r="M331" s="175" t="s">
        <v>892</v>
      </c>
      <c r="N331" s="175" t="s">
        <v>893</v>
      </c>
      <c r="O331" s="175" t="s">
        <v>894</v>
      </c>
      <c r="P331" s="175" t="s">
        <v>895</v>
      </c>
    </row>
    <row r="332" spans="10:18" x14ac:dyDescent="0.3">
      <c r="K332" s="259"/>
      <c r="L332" s="175" t="s">
        <v>9</v>
      </c>
      <c r="M332" s="175" t="s">
        <v>9</v>
      </c>
      <c r="N332" s="175" t="s">
        <v>9</v>
      </c>
      <c r="O332" s="175" t="s">
        <v>9</v>
      </c>
      <c r="P332" s="175" t="s">
        <v>9</v>
      </c>
    </row>
    <row r="333" spans="10:18" x14ac:dyDescent="0.3">
      <c r="L333" s="152">
        <v>500</v>
      </c>
      <c r="M333" s="152">
        <v>500</v>
      </c>
      <c r="N333" s="153">
        <v>500</v>
      </c>
      <c r="O333" s="152">
        <v>150</v>
      </c>
      <c r="P333" s="152">
        <v>2000</v>
      </c>
    </row>
    <row r="335" spans="10:18" ht="15" customHeight="1" x14ac:dyDescent="0.3">
      <c r="K335" s="246" t="s">
        <v>898</v>
      </c>
      <c r="L335" s="247"/>
      <c r="M335" s="247"/>
      <c r="N335" s="247"/>
      <c r="O335" s="247"/>
      <c r="P335" s="248"/>
    </row>
    <row r="336" spans="10:18" x14ac:dyDescent="0.3">
      <c r="K336" s="258" t="s">
        <v>2</v>
      </c>
      <c r="L336" s="175" t="s">
        <v>891</v>
      </c>
      <c r="M336" s="175" t="s">
        <v>892</v>
      </c>
      <c r="N336" s="175" t="s">
        <v>893</v>
      </c>
      <c r="O336" s="175" t="s">
        <v>894</v>
      </c>
      <c r="P336" s="175" t="s">
        <v>895</v>
      </c>
    </row>
    <row r="337" spans="11:16" x14ac:dyDescent="0.3">
      <c r="K337" s="259"/>
      <c r="L337" s="175" t="s">
        <v>9</v>
      </c>
      <c r="M337" s="175" t="s">
        <v>9</v>
      </c>
      <c r="N337" s="175" t="s">
        <v>9</v>
      </c>
      <c r="O337" s="175" t="s">
        <v>9</v>
      </c>
      <c r="P337" s="175" t="s">
        <v>9</v>
      </c>
    </row>
    <row r="338" spans="11:16" x14ac:dyDescent="0.3">
      <c r="L338" s="152">
        <v>500</v>
      </c>
      <c r="M338" s="152">
        <v>500</v>
      </c>
      <c r="N338" s="153">
        <v>500</v>
      </c>
      <c r="O338" s="152">
        <v>150</v>
      </c>
      <c r="P338" s="152">
        <v>2000</v>
      </c>
    </row>
  </sheetData>
  <mergeCells count="71">
    <mergeCell ref="C59:D59"/>
    <mergeCell ref="E59:F59"/>
    <mergeCell ref="C60:D60"/>
    <mergeCell ref="E60:F60"/>
    <mergeCell ref="B168:D168"/>
    <mergeCell ref="E168:G168"/>
    <mergeCell ref="B95:B97"/>
    <mergeCell ref="C95:E95"/>
    <mergeCell ref="F95:H95"/>
    <mergeCell ref="K335:P335"/>
    <mergeCell ref="K336:K337"/>
    <mergeCell ref="B297:G297"/>
    <mergeCell ref="B298:B299"/>
    <mergeCell ref="B292:G292"/>
    <mergeCell ref="B293:B294"/>
    <mergeCell ref="K331:K332"/>
    <mergeCell ref="K297:P297"/>
    <mergeCell ref="K293:P293"/>
    <mergeCell ref="K294:K295"/>
    <mergeCell ref="K330:P330"/>
    <mergeCell ref="Q299:U299"/>
    <mergeCell ref="Q308:R308"/>
    <mergeCell ref="Q315:U315"/>
    <mergeCell ref="Q324:R324"/>
    <mergeCell ref="K298:K299"/>
    <mergeCell ref="A213:A215"/>
    <mergeCell ref="B213:F213"/>
    <mergeCell ref="K259:K260"/>
    <mergeCell ref="K255:K256"/>
    <mergeCell ref="B255:B256"/>
    <mergeCell ref="M59:M60"/>
    <mergeCell ref="K218:K220"/>
    <mergeCell ref="L218:P218"/>
    <mergeCell ref="K213:K215"/>
    <mergeCell ref="L213:P213"/>
    <mergeCell ref="K177:K178"/>
    <mergeCell ref="L177:L178"/>
    <mergeCell ref="K180:K181"/>
    <mergeCell ref="L180:L181"/>
    <mergeCell ref="O180:O181"/>
    <mergeCell ref="M168:O168"/>
    <mergeCell ref="P168:R168"/>
    <mergeCell ref="P62:P63"/>
    <mergeCell ref="K59:K60"/>
    <mergeCell ref="L59:L60"/>
    <mergeCell ref="P180:P181"/>
    <mergeCell ref="B4:H4"/>
    <mergeCell ref="B10:H10"/>
    <mergeCell ref="B30:F30"/>
    <mergeCell ref="B29:F29"/>
    <mergeCell ref="B19:I19"/>
    <mergeCell ref="B9:H9"/>
    <mergeCell ref="K62:K63"/>
    <mergeCell ref="L62:L63"/>
    <mergeCell ref="O62:O63"/>
    <mergeCell ref="K99:K101"/>
    <mergeCell ref="L99:N99"/>
    <mergeCell ref="O99:Q99"/>
    <mergeCell ref="O95:Q95"/>
    <mergeCell ref="Q62:Q63"/>
    <mergeCell ref="M62:M63"/>
    <mergeCell ref="K95:K97"/>
    <mergeCell ref="L95:N95"/>
    <mergeCell ref="BF21:BG21"/>
    <mergeCell ref="BI21:BJ21"/>
    <mergeCell ref="BK21:BL21"/>
    <mergeCell ref="AV20:AW20"/>
    <mergeCell ref="AZ20:BA20"/>
    <mergeCell ref="BF20:BG20"/>
    <mergeCell ref="BI20:BJ20"/>
    <mergeCell ref="BK20:BL20"/>
  </mergeCells>
  <phoneticPr fontId="2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5230A-ACDC-46BE-A71F-5D6F30D0E2CB}">
  <dimension ref="A2:F239"/>
  <sheetViews>
    <sheetView workbookViewId="0">
      <selection activeCell="E31" sqref="E31"/>
    </sheetView>
  </sheetViews>
  <sheetFormatPr defaultRowHeight="14.4" x14ac:dyDescent="0.3"/>
  <cols>
    <col min="1" max="1" width="15.109375" bestFit="1" customWidth="1"/>
    <col min="2" max="2" width="15.88671875" bestFit="1" customWidth="1"/>
    <col min="3" max="3" width="18.6640625" bestFit="1" customWidth="1"/>
    <col min="4" max="4" width="9.88671875" bestFit="1" customWidth="1"/>
    <col min="5" max="6" width="255.5546875" bestFit="1" customWidth="1"/>
  </cols>
  <sheetData>
    <row r="2" spans="1:6" x14ac:dyDescent="0.3">
      <c r="A2" s="187">
        <v>45959.454826388886</v>
      </c>
      <c r="B2" t="s">
        <v>1494</v>
      </c>
      <c r="C2" t="s">
        <v>1495</v>
      </c>
      <c r="D2" t="str">
        <f ca="1">MID(CELL("address",Tabelle!$D$11),FIND("!",CELL("address",Tabelle!$D$11))+1,255)</f>
        <v>$D$11</v>
      </c>
      <c r="E2" t="s">
        <v>204</v>
      </c>
      <c r="F2" t="s">
        <v>204</v>
      </c>
    </row>
    <row r="3" spans="1:6" x14ac:dyDescent="0.3">
      <c r="A3" s="187">
        <v>45959.454918981479</v>
      </c>
      <c r="B3" t="s">
        <v>1494</v>
      </c>
      <c r="C3" t="s">
        <v>1495</v>
      </c>
      <c r="D3" t="str">
        <f ca="1">MID(CELL("address",Tabelle!$X$7),FIND("!",CELL("address",Tabelle!$X$7))+1,255)</f>
        <v>$X$7</v>
      </c>
      <c r="E3" t="s">
        <v>212</v>
      </c>
      <c r="F3" t="s">
        <v>204</v>
      </c>
    </row>
    <row r="4" spans="1:6" x14ac:dyDescent="0.3">
      <c r="A4" s="187">
        <v>45959.455081018517</v>
      </c>
      <c r="B4" t="s">
        <v>1494</v>
      </c>
      <c r="C4" t="s">
        <v>1495</v>
      </c>
      <c r="D4" t="str">
        <f ca="1">MID(CELL("address",Tabelle!$X$5),FIND("!",CELL("address",Tabelle!$X$5))+1,255)</f>
        <v>$X$5</v>
      </c>
      <c r="E4" t="s">
        <v>204</v>
      </c>
      <c r="F4" t="s">
        <v>212</v>
      </c>
    </row>
    <row r="5" spans="1:6" x14ac:dyDescent="0.3">
      <c r="A5" s="187">
        <v>45959.456388888888</v>
      </c>
      <c r="B5" t="s">
        <v>1494</v>
      </c>
      <c r="C5" t="s">
        <v>1497</v>
      </c>
      <c r="D5" t="str">
        <f ca="1">MID(CELL("address",INSTALLATION!$C$218),FIND("!",CELL("address",INSTALLATION!$C$218))+1,255)</f>
        <v>$C$218</v>
      </c>
      <c r="E5" t="e">
        <v>#VALUE!</v>
      </c>
      <c r="F5" t="e">
        <v>#VALUE!</v>
      </c>
    </row>
    <row r="6" spans="1:6" x14ac:dyDescent="0.3">
      <c r="A6" s="187">
        <v>45959.456574074073</v>
      </c>
      <c r="B6" t="s">
        <v>1494</v>
      </c>
      <c r="C6" t="s">
        <v>1497</v>
      </c>
      <c r="D6" t="str">
        <f ca="1">MID(CELL("address",INSTALLATION!$C$219),FIND("!",CELL("address",INSTALLATION!$C$219))+1,255)</f>
        <v>$C$219</v>
      </c>
      <c r="E6" t="e">
        <v>#VALUE!</v>
      </c>
      <c r="F6" t="e">
        <v>#VALUE!</v>
      </c>
    </row>
    <row r="7" spans="1:6" x14ac:dyDescent="0.3">
      <c r="A7" s="187">
        <v>45959.456655092596</v>
      </c>
      <c r="B7" t="s">
        <v>1494</v>
      </c>
      <c r="C7" t="s">
        <v>1497</v>
      </c>
      <c r="D7" t="str">
        <f ca="1">MID(CELL("address",INSTALLATION!$C$220),FIND("!",CELL("address",INSTALLATION!$C$220))+1,255)</f>
        <v>$C$220</v>
      </c>
      <c r="E7" t="e">
        <v>#VALUE!</v>
      </c>
      <c r="F7" t="e">
        <v>#VALUE!</v>
      </c>
    </row>
    <row r="8" spans="1:6" x14ac:dyDescent="0.3">
      <c r="A8" s="187">
        <v>45959.457245370373</v>
      </c>
      <c r="B8" t="s">
        <v>1494</v>
      </c>
      <c r="C8" t="s">
        <v>1495</v>
      </c>
      <c r="D8" t="str">
        <f ca="1">MID(CELL("address",Tabelle!$O$169),FIND("!",CELL("address",Tabelle!$O$169))+1,255)</f>
        <v>$O$169</v>
      </c>
      <c r="E8" t="s">
        <v>1391</v>
      </c>
      <c r="F8" t="s">
        <v>1498</v>
      </c>
    </row>
    <row r="9" spans="1:6" x14ac:dyDescent="0.3">
      <c r="A9" s="187">
        <v>45959.457349537035</v>
      </c>
      <c r="B9" t="s">
        <v>1494</v>
      </c>
      <c r="C9" t="s">
        <v>1495</v>
      </c>
      <c r="D9" t="str">
        <f ca="1">MID(CELL("address",Tabelle!$R$169),FIND("!",CELL("address",Tabelle!$R$169))+1,255)</f>
        <v>$R$169</v>
      </c>
      <c r="E9" t="s">
        <v>1206</v>
      </c>
      <c r="F9" t="s">
        <v>1498</v>
      </c>
    </row>
    <row r="10" spans="1:6" x14ac:dyDescent="0.3">
      <c r="A10" s="187">
        <v>45959.458240740743</v>
      </c>
      <c r="B10" t="s">
        <v>1494</v>
      </c>
      <c r="C10" t="s">
        <v>1499</v>
      </c>
      <c r="D10" t="str">
        <f ca="1">MID(CELL("address",'Interfaccia di selezione'!$B$3),FIND("!",CELL("address",'Interfaccia di selezione'!$B$3))+1,255)</f>
        <v>$B$3</v>
      </c>
      <c r="F10" t="s">
        <v>1496</v>
      </c>
    </row>
    <row r="11" spans="1:6" x14ac:dyDescent="0.3">
      <c r="A11" s="187">
        <v>45959.458240740743</v>
      </c>
      <c r="B11" t="s">
        <v>1494</v>
      </c>
      <c r="C11" t="s">
        <v>1499</v>
      </c>
      <c r="D11" t="str">
        <f ca="1">MID(CELL("address",'Interfaccia di selezione'!$C$3),FIND("!",CELL("address",'Interfaccia di selezione'!$C$3))+1,255)</f>
        <v>$C$3</v>
      </c>
      <c r="F11" t="s">
        <v>146</v>
      </c>
    </row>
    <row r="12" spans="1:6" x14ac:dyDescent="0.3">
      <c r="A12" s="187">
        <v>45959.458240740743</v>
      </c>
      <c r="B12" t="s">
        <v>1494</v>
      </c>
      <c r="C12" t="s">
        <v>1499</v>
      </c>
      <c r="D12" t="str">
        <f ca="1">MID(CELL("address",'Interfaccia di selezione'!$D$3),FIND("!",CELL("address",'Interfaccia di selezione'!$D$3))+1,255)</f>
        <v>$D$3</v>
      </c>
      <c r="F12" t="s">
        <v>144</v>
      </c>
    </row>
    <row r="13" spans="1:6" x14ac:dyDescent="0.3">
      <c r="A13" s="187">
        <v>45961.659062500003</v>
      </c>
      <c r="B13" t="s">
        <v>1494</v>
      </c>
      <c r="C13" t="s">
        <v>1499</v>
      </c>
      <c r="D13" t="str">
        <f ca="1">MID(CELL("address",'Interfaccia di selezione'!$B$3),FIND("!",CELL("address",'Interfaccia di selezione'!$B$3))+1,255)</f>
        <v>$B$3</v>
      </c>
      <c r="F13" t="s">
        <v>1500</v>
      </c>
    </row>
    <row r="14" spans="1:6" x14ac:dyDescent="0.3">
      <c r="A14" s="187">
        <v>45961.659062500003</v>
      </c>
      <c r="B14" t="s">
        <v>1494</v>
      </c>
      <c r="C14" t="s">
        <v>1499</v>
      </c>
      <c r="D14" t="str">
        <f ca="1">MID(CELL("address",'Interfaccia di selezione'!$C$3),FIND("!",CELL("address",'Interfaccia di selezione'!$C$3))+1,255)</f>
        <v>$C$3</v>
      </c>
      <c r="F14" t="s">
        <v>37</v>
      </c>
    </row>
    <row r="15" spans="1:6" x14ac:dyDescent="0.3">
      <c r="A15" s="187">
        <v>45961.659062500003</v>
      </c>
      <c r="B15" t="s">
        <v>1494</v>
      </c>
      <c r="C15" t="s">
        <v>1499</v>
      </c>
      <c r="D15" t="str">
        <f ca="1">MID(CELL("address",'Interfaccia di selezione'!$D$3),FIND("!",CELL("address",'Interfaccia di selezione'!$D$3))+1,255)</f>
        <v>$D$3</v>
      </c>
      <c r="F15" t="s">
        <v>145</v>
      </c>
    </row>
    <row r="16" spans="1:6" x14ac:dyDescent="0.3">
      <c r="A16" s="187">
        <v>45961.695451388892</v>
      </c>
      <c r="B16" t="s">
        <v>1494</v>
      </c>
      <c r="C16" t="s">
        <v>1499</v>
      </c>
      <c r="D16" t="str">
        <f ca="1">MID(CELL("address",'Interfaccia di selezione'!$B$3),FIND("!",CELL("address",'Interfaccia di selezione'!$B$3))+1,255)</f>
        <v>$B$3</v>
      </c>
      <c r="F16" t="s">
        <v>1501</v>
      </c>
    </row>
    <row r="17" spans="1:6" x14ac:dyDescent="0.3">
      <c r="A17" s="187">
        <v>45961.695451388892</v>
      </c>
      <c r="B17" t="s">
        <v>1494</v>
      </c>
      <c r="C17" t="s">
        <v>1499</v>
      </c>
      <c r="D17" t="str">
        <f ca="1">MID(CELL("address",'Interfaccia di selezione'!$C$3),FIND("!",CELL("address",'Interfaccia di selezione'!$C$3))+1,255)</f>
        <v>$C$3</v>
      </c>
      <c r="F17" t="s">
        <v>37</v>
      </c>
    </row>
    <row r="18" spans="1:6" x14ac:dyDescent="0.3">
      <c r="A18" s="187">
        <v>45961.695451388892</v>
      </c>
      <c r="B18" t="s">
        <v>1494</v>
      </c>
      <c r="C18" t="s">
        <v>1499</v>
      </c>
      <c r="D18" t="str">
        <f ca="1">MID(CELL("address",'Interfaccia di selezione'!$D$3),FIND("!",CELL("address",'Interfaccia di selezione'!$D$3))+1,255)</f>
        <v>$D$3</v>
      </c>
      <c r="F18" t="s">
        <v>145</v>
      </c>
    </row>
    <row r="19" spans="1:6" x14ac:dyDescent="0.3">
      <c r="A19" s="187">
        <v>45967.374502314815</v>
      </c>
      <c r="B19" t="s">
        <v>1502</v>
      </c>
      <c r="C19" t="s">
        <v>1499</v>
      </c>
      <c r="D19" t="str">
        <f ca="1">MID(CELL("address",'Interfaccia di selezione'!$B$3),FIND("!",CELL("address",'Interfaccia di selezione'!$B$3))+1,255)</f>
        <v>$B$3</v>
      </c>
      <c r="F19" t="s">
        <v>1500</v>
      </c>
    </row>
    <row r="20" spans="1:6" x14ac:dyDescent="0.3">
      <c r="A20" s="187">
        <v>45967.374502314815</v>
      </c>
      <c r="B20" t="s">
        <v>1502</v>
      </c>
      <c r="C20" t="s">
        <v>1499</v>
      </c>
      <c r="D20" t="str">
        <f ca="1">MID(CELL("address",'Interfaccia di selezione'!$C$3),FIND("!",CELL("address",'Interfaccia di selezione'!$C$3))+1,255)</f>
        <v>$C$3</v>
      </c>
      <c r="F20" t="s">
        <v>37</v>
      </c>
    </row>
    <row r="21" spans="1:6" x14ac:dyDescent="0.3">
      <c r="A21" s="187">
        <v>45967.374502314815</v>
      </c>
      <c r="B21" t="s">
        <v>1502</v>
      </c>
      <c r="C21" t="s">
        <v>1499</v>
      </c>
      <c r="D21" t="str">
        <f ca="1">MID(CELL("address",'Interfaccia di selezione'!$D$3),FIND("!",CELL("address",'Interfaccia di selezione'!$D$3))+1,255)</f>
        <v>$D$3</v>
      </c>
      <c r="F21" t="s">
        <v>145</v>
      </c>
    </row>
    <row r="22" spans="1:6" x14ac:dyDescent="0.3">
      <c r="A22" s="187">
        <v>45967.641134259262</v>
      </c>
      <c r="B22" t="s">
        <v>1503</v>
      </c>
      <c r="C22" t="s">
        <v>1499</v>
      </c>
      <c r="D22" t="str">
        <f ca="1">MID(CELL("address",'Interfaccia di selezione'!$B$3),FIND("!",CELL("address",'Interfaccia di selezione'!$B$3))+1,255)</f>
        <v>$B$3</v>
      </c>
      <c r="F22" t="s">
        <v>1500</v>
      </c>
    </row>
    <row r="23" spans="1:6" x14ac:dyDescent="0.3">
      <c r="A23" s="187">
        <v>45967.641134259262</v>
      </c>
      <c r="B23" t="s">
        <v>1503</v>
      </c>
      <c r="C23" t="s">
        <v>1499</v>
      </c>
      <c r="D23" t="str">
        <f ca="1">MID(CELL("address",'Interfaccia di selezione'!$C$3),FIND("!",CELL("address",'Interfaccia di selezione'!$C$3))+1,255)</f>
        <v>$C$3</v>
      </c>
      <c r="F23" t="s">
        <v>37</v>
      </c>
    </row>
    <row r="24" spans="1:6" x14ac:dyDescent="0.3">
      <c r="A24" s="187">
        <v>45967.641134259262</v>
      </c>
      <c r="B24" t="s">
        <v>1503</v>
      </c>
      <c r="C24" t="s">
        <v>1499</v>
      </c>
      <c r="D24" t="str">
        <f ca="1">MID(CELL("address",'Interfaccia di selezione'!$D$3),FIND("!",CELL("address",'Interfaccia di selezione'!$D$3))+1,255)</f>
        <v>$D$3</v>
      </c>
      <c r="F24" t="s">
        <v>145</v>
      </c>
    </row>
    <row r="25" spans="1:6" x14ac:dyDescent="0.3">
      <c r="A25" s="187">
        <v>45967.651759259257</v>
      </c>
      <c r="B25" t="s">
        <v>1503</v>
      </c>
      <c r="C25" t="s">
        <v>1499</v>
      </c>
      <c r="D25" t="str">
        <f ca="1">MID(CELL("address",'Interfaccia di selezione'!$B$3),FIND("!",CELL("address",'Interfaccia di selezione'!$B$3))+1,255)</f>
        <v>$B$3</v>
      </c>
      <c r="F25" t="s">
        <v>1504</v>
      </c>
    </row>
    <row r="26" spans="1:6" x14ac:dyDescent="0.3">
      <c r="A26" s="187">
        <v>45967.651759259257</v>
      </c>
      <c r="B26" t="s">
        <v>1503</v>
      </c>
      <c r="C26" t="s">
        <v>1499</v>
      </c>
      <c r="D26" t="str">
        <f ca="1">MID(CELL("address",'Interfaccia di selezione'!$C$3),FIND("!",CELL("address",'Interfaccia di selezione'!$C$3))+1,255)</f>
        <v>$C$3</v>
      </c>
      <c r="F26" t="s">
        <v>146</v>
      </c>
    </row>
    <row r="27" spans="1:6" x14ac:dyDescent="0.3">
      <c r="A27" s="187">
        <v>45967.651759259257</v>
      </c>
      <c r="B27" t="s">
        <v>1503</v>
      </c>
      <c r="C27" t="s">
        <v>1499</v>
      </c>
      <c r="D27" t="str">
        <f ca="1">MID(CELL("address",'Interfaccia di selezione'!$D$3),FIND("!",CELL("address",'Interfaccia di selezione'!$D$3))+1,255)</f>
        <v>$D$3</v>
      </c>
      <c r="F27" t="s">
        <v>145</v>
      </c>
    </row>
    <row r="28" spans="1:6" x14ac:dyDescent="0.3">
      <c r="A28" s="187">
        <v>45973.57309027778</v>
      </c>
      <c r="B28" t="s">
        <v>1503</v>
      </c>
      <c r="C28" t="s">
        <v>1499</v>
      </c>
      <c r="D28" t="str">
        <f ca="1">MID(CELL("address",'Interfaccia di selezione'!$B$3),FIND("!",CELL("address",'Interfaccia di selezione'!$B$3))+1,255)</f>
        <v>$B$3</v>
      </c>
      <c r="F28" t="s">
        <v>1504</v>
      </c>
    </row>
    <row r="29" spans="1:6" x14ac:dyDescent="0.3">
      <c r="A29" s="187">
        <v>45973.57309027778</v>
      </c>
      <c r="B29" t="s">
        <v>1503</v>
      </c>
      <c r="C29" t="s">
        <v>1499</v>
      </c>
      <c r="D29" t="str">
        <f ca="1">MID(CELL("address",'Interfaccia di selezione'!$C$3),FIND("!",CELL("address",'Interfaccia di selezione'!$C$3))+1,255)</f>
        <v>$C$3</v>
      </c>
      <c r="F29" t="s">
        <v>146</v>
      </c>
    </row>
    <row r="30" spans="1:6" x14ac:dyDescent="0.3">
      <c r="A30" s="187">
        <v>45973.57309027778</v>
      </c>
      <c r="B30" t="s">
        <v>1503</v>
      </c>
      <c r="C30" t="s">
        <v>1499</v>
      </c>
      <c r="D30" t="str">
        <f ca="1">MID(CELL("address",'Interfaccia di selezione'!$D$3),FIND("!",CELL("address",'Interfaccia di selezione'!$D$3))+1,255)</f>
        <v>$D$3</v>
      </c>
      <c r="F30" t="s">
        <v>145</v>
      </c>
    </row>
    <row r="31" spans="1:6" x14ac:dyDescent="0.3">
      <c r="A31" s="187">
        <v>45973.577418981484</v>
      </c>
      <c r="B31" t="s">
        <v>1503</v>
      </c>
      <c r="C31" t="s">
        <v>1499</v>
      </c>
      <c r="D31" t="str">
        <f ca="1">MID(CELL("address",'Interfaccia di selezione'!$B$3),FIND("!",CELL("address",'Interfaccia di selezione'!$B$3))+1,255)</f>
        <v>$B$3</v>
      </c>
      <c r="F31" t="s">
        <v>1504</v>
      </c>
    </row>
    <row r="32" spans="1:6" x14ac:dyDescent="0.3">
      <c r="A32" s="187">
        <v>45973.577418981484</v>
      </c>
      <c r="B32" t="s">
        <v>1503</v>
      </c>
      <c r="C32" t="s">
        <v>1499</v>
      </c>
      <c r="D32" t="str">
        <f ca="1">MID(CELL("address",'Interfaccia di selezione'!$C$3),FIND("!",CELL("address",'Interfaccia di selezione'!$C$3))+1,255)</f>
        <v>$C$3</v>
      </c>
      <c r="F32" t="s">
        <v>146</v>
      </c>
    </row>
    <row r="33" spans="1:6" x14ac:dyDescent="0.3">
      <c r="A33" s="187">
        <v>45973.577418981484</v>
      </c>
      <c r="B33" t="s">
        <v>1503</v>
      </c>
      <c r="C33" t="s">
        <v>1499</v>
      </c>
      <c r="D33" t="str">
        <f ca="1">MID(CELL("address",'Interfaccia di selezione'!$D$3),FIND("!",CELL("address",'Interfaccia di selezione'!$D$3))+1,255)</f>
        <v>$D$3</v>
      </c>
      <c r="F33" t="s">
        <v>145</v>
      </c>
    </row>
    <row r="34" spans="1:6" x14ac:dyDescent="0.3">
      <c r="A34" s="187">
        <v>45985.707442129627</v>
      </c>
      <c r="B34" t="s">
        <v>1503</v>
      </c>
      <c r="C34" t="s">
        <v>1497</v>
      </c>
      <c r="D34" t="str">
        <f ca="1">MID(CELL("address",INSTALLATION!$B$2),FIND("!",CELL("address",INSTALLATION!$B$2))+1,255)</f>
        <v>$B$2</v>
      </c>
      <c r="E34" t="s">
        <v>1394</v>
      </c>
      <c r="F34" t="s">
        <v>1505</v>
      </c>
    </row>
    <row r="35" spans="1:6" x14ac:dyDescent="0.3">
      <c r="A35" s="187">
        <v>45989.418495370373</v>
      </c>
      <c r="B35" t="s">
        <v>1503</v>
      </c>
      <c r="C35" t="s">
        <v>1495</v>
      </c>
      <c r="D35" t="str">
        <f ca="1">MID(CELL("address",Tabelle!$L$121),FIND("!",CELL("address",Tabelle!$L$121))+1,255)</f>
        <v>$L$121</v>
      </c>
      <c r="E35">
        <v>1776</v>
      </c>
      <c r="F35">
        <v>1768</v>
      </c>
    </row>
    <row r="36" spans="1:6" x14ac:dyDescent="0.3">
      <c r="A36" s="187">
        <v>45989.41851851852</v>
      </c>
      <c r="B36" t="s">
        <v>1503</v>
      </c>
      <c r="C36" t="s">
        <v>1495</v>
      </c>
      <c r="D36" t="str">
        <f ca="1">MID(CELL("address",Tabelle!$M$121),FIND("!",CELL("address",Tabelle!$M$121))+1,255)</f>
        <v>$M$121</v>
      </c>
      <c r="E36">
        <v>2050</v>
      </c>
      <c r="F36">
        <v>2224</v>
      </c>
    </row>
    <row r="37" spans="1:6" x14ac:dyDescent="0.3">
      <c r="A37" s="187">
        <v>45989.418611111112</v>
      </c>
      <c r="B37" t="s">
        <v>1503</v>
      </c>
      <c r="C37" t="s">
        <v>1495</v>
      </c>
      <c r="D37" t="str">
        <f ca="1">MID(CELL("address",Tabelle!$N$121),FIND("!",CELL("address",Tabelle!$N$121))+1,255)</f>
        <v>$N$121</v>
      </c>
      <c r="E37">
        <v>2130</v>
      </c>
      <c r="F37">
        <v>2502</v>
      </c>
    </row>
    <row r="38" spans="1:6" x14ac:dyDescent="0.3">
      <c r="A38" s="187">
        <v>45989.419004629628</v>
      </c>
      <c r="B38" t="s">
        <v>1503</v>
      </c>
      <c r="C38" t="s">
        <v>1495</v>
      </c>
      <c r="D38" t="str">
        <f ca="1">MID(CELL("address",Tabelle!$O$156),FIND("!",CELL("address",Tabelle!$O$156))+1,255)</f>
        <v>$O$156</v>
      </c>
      <c r="E38">
        <v>3400</v>
      </c>
      <c r="F38">
        <v>3419</v>
      </c>
    </row>
    <row r="39" spans="1:6" x14ac:dyDescent="0.3">
      <c r="A39" s="187">
        <v>45989.419039351851</v>
      </c>
      <c r="B39" t="s">
        <v>1503</v>
      </c>
      <c r="C39" t="s">
        <v>1495</v>
      </c>
      <c r="D39" t="str">
        <f ca="1">MID(CELL("address",Tabelle!$L$156),FIND("!",CELL("address",Tabelle!$L$156))+1,255)</f>
        <v>$L$156</v>
      </c>
      <c r="E39">
        <v>3320</v>
      </c>
      <c r="F39">
        <v>3264</v>
      </c>
    </row>
    <row r="40" spans="1:6" x14ac:dyDescent="0.3">
      <c r="A40" s="187">
        <v>45996.527013888888</v>
      </c>
      <c r="B40" t="s">
        <v>1503</v>
      </c>
      <c r="C40" t="s">
        <v>1497</v>
      </c>
      <c r="D40" t="str">
        <f ca="1">MID(CELL("address",INSTALLATION!$A$168),FIND("!",CELL("address",INSTALLATION!$A$168))+1,255)</f>
        <v>$A$168</v>
      </c>
      <c r="E40" t="s">
        <v>0</v>
      </c>
      <c r="F40" t="s">
        <v>881</v>
      </c>
    </row>
    <row r="41" spans="1:6" x14ac:dyDescent="0.3">
      <c r="A41" s="187">
        <v>45996.527094907404</v>
      </c>
      <c r="B41" t="s">
        <v>1503</v>
      </c>
      <c r="C41" t="s">
        <v>1497</v>
      </c>
      <c r="D41" t="str">
        <f ca="1">MID(CELL("address",INSTALLATION!$A$192),FIND("!",CELL("address",INSTALLATION!$A$192))+1,255)</f>
        <v>$A$192</v>
      </c>
      <c r="E41" t="s">
        <v>0</v>
      </c>
      <c r="F41" t="s">
        <v>881</v>
      </c>
    </row>
    <row r="42" spans="1:6" x14ac:dyDescent="0.3">
      <c r="A42" s="187">
        <v>45996.527106481481</v>
      </c>
      <c r="B42" t="s">
        <v>1503</v>
      </c>
      <c r="C42" t="s">
        <v>1497</v>
      </c>
      <c r="D42" t="str">
        <f ca="1">MID(CELL("address",INSTALLATION!$A$193),FIND("!",CELL("address",INSTALLATION!$A$193))+1,255)</f>
        <v>$A$193</v>
      </c>
      <c r="E42" t="s">
        <v>0</v>
      </c>
      <c r="F42" t="s">
        <v>881</v>
      </c>
    </row>
    <row r="43" spans="1:6" x14ac:dyDescent="0.3">
      <c r="A43" s="187">
        <v>45996.527141203704</v>
      </c>
      <c r="B43" t="s">
        <v>1503</v>
      </c>
      <c r="C43" t="s">
        <v>1497</v>
      </c>
      <c r="D43" t="str">
        <f ca="1">MID(CELL("address",INSTALLATION!$A$194),FIND("!",CELL("address",INSTALLATION!$A$194))+1,255)</f>
        <v>$A$194</v>
      </c>
      <c r="E43" t="s">
        <v>0</v>
      </c>
      <c r="F43" t="s">
        <v>881</v>
      </c>
    </row>
    <row r="44" spans="1:6" x14ac:dyDescent="0.3">
      <c r="A44" s="187">
        <v>45996.52716435185</v>
      </c>
      <c r="B44" t="s">
        <v>1503</v>
      </c>
      <c r="C44" t="s">
        <v>1497</v>
      </c>
      <c r="D44" t="str">
        <f ca="1">MID(CELL("address",INSTALLATION!$A$195),FIND("!",CELL("address",INSTALLATION!$A$195))+1,255)</f>
        <v>$A$195</v>
      </c>
      <c r="E44" t="s">
        <v>0</v>
      </c>
      <c r="F44" t="s">
        <v>881</v>
      </c>
    </row>
    <row r="45" spans="1:6" x14ac:dyDescent="0.3">
      <c r="A45" s="187">
        <v>45996.53465277778</v>
      </c>
      <c r="B45" t="s">
        <v>1503</v>
      </c>
      <c r="C45" t="s">
        <v>1497</v>
      </c>
      <c r="D45" t="str">
        <f ca="1">MID(CELL("address",INSTALLATION!$B$186),FIND("!",CELL("address",INSTALLATION!$B$186))+1,255)</f>
        <v>$B$186</v>
      </c>
      <c r="E45" t="s">
        <v>1405</v>
      </c>
      <c r="F45" t="s">
        <v>1506</v>
      </c>
    </row>
    <row r="46" spans="1:6" x14ac:dyDescent="0.3">
      <c r="A46" s="187">
        <v>45996.630324074074</v>
      </c>
      <c r="B46" t="s">
        <v>1503</v>
      </c>
      <c r="C46" t="s">
        <v>1497</v>
      </c>
      <c r="D46" t="s">
        <v>1507</v>
      </c>
      <c r="E46" t="s">
        <v>1508</v>
      </c>
      <c r="F46" t="s">
        <v>1508</v>
      </c>
    </row>
    <row r="47" spans="1:6" x14ac:dyDescent="0.3">
      <c r="A47" s="187">
        <v>45996.630358796298</v>
      </c>
      <c r="B47" t="s">
        <v>1503</v>
      </c>
      <c r="C47" t="s">
        <v>1497</v>
      </c>
      <c r="D47" t="s">
        <v>1507</v>
      </c>
      <c r="E47" t="s">
        <v>1508</v>
      </c>
      <c r="F47" t="s">
        <v>1508</v>
      </c>
    </row>
    <row r="48" spans="1:6" x14ac:dyDescent="0.3">
      <c r="A48" s="187">
        <v>45996.630578703705</v>
      </c>
      <c r="B48" t="s">
        <v>1503</v>
      </c>
      <c r="C48" t="s">
        <v>1497</v>
      </c>
      <c r="D48" t="str">
        <f ca="1">MID(CELL("address",INSTALLATION!$C$186),FIND("!",CELL("address",INSTALLATION!$C$186))+1,255)</f>
        <v>$C$186</v>
      </c>
      <c r="E48" t="s">
        <v>1407</v>
      </c>
      <c r="F48" t="s">
        <v>1509</v>
      </c>
    </row>
    <row r="49" spans="1:6" x14ac:dyDescent="0.3">
      <c r="A49" s="187">
        <v>45996.630659722221</v>
      </c>
      <c r="B49" t="s">
        <v>1503</v>
      </c>
      <c r="C49" t="s">
        <v>1497</v>
      </c>
      <c r="D49" t="str">
        <f ca="1">MID(CELL("address",INSTALLATION!$A$189),FIND("!",CELL("address",INSTALLATION!$A$189))+1,255)</f>
        <v>$A$189</v>
      </c>
      <c r="F49" t="s">
        <v>862</v>
      </c>
    </row>
    <row r="50" spans="1:6" x14ac:dyDescent="0.3">
      <c r="A50" s="187">
        <v>45996.630682870367</v>
      </c>
      <c r="B50" t="s">
        <v>1503</v>
      </c>
      <c r="C50" t="s">
        <v>1497</v>
      </c>
      <c r="D50" t="str">
        <f ca="1">MID(CELL("address",INSTALLATION!$A$190),FIND("!",CELL("address",INSTALLATION!$A$190))+1,255)</f>
        <v>$A$190</v>
      </c>
      <c r="F50" t="s">
        <v>862</v>
      </c>
    </row>
    <row r="51" spans="1:6" x14ac:dyDescent="0.3">
      <c r="A51" s="187">
        <v>45996.630902777775</v>
      </c>
      <c r="B51" t="s">
        <v>1503</v>
      </c>
      <c r="C51" t="s">
        <v>1497</v>
      </c>
      <c r="D51" t="str">
        <f ca="1">MID(CELL("address",INSTALLATION!$B$189),FIND("!",CELL("address",INSTALLATION!$B$189))+1,255)</f>
        <v>$B$189</v>
      </c>
    </row>
    <row r="52" spans="1:6" x14ac:dyDescent="0.3">
      <c r="A52" s="187">
        <v>45996.630937499998</v>
      </c>
      <c r="B52" t="s">
        <v>1503</v>
      </c>
      <c r="C52" t="s">
        <v>1497</v>
      </c>
      <c r="D52" t="str">
        <f ca="1">MID(CELL("address",INSTALLATION!$B$189),FIND("!",CELL("address",INSTALLATION!$B$189))+1,255)</f>
        <v>$B$189</v>
      </c>
    </row>
    <row r="53" spans="1:6" x14ac:dyDescent="0.3">
      <c r="A53" s="187">
        <v>45996.631145833337</v>
      </c>
      <c r="B53" t="s">
        <v>1503</v>
      </c>
      <c r="C53" t="s">
        <v>1497</v>
      </c>
      <c r="D53" t="str">
        <f ca="1">MID(CELL("address",INSTALLATION!$B$189),FIND("!",CELL("address",INSTALLATION!$B$189))+1,255)</f>
        <v>$B$189</v>
      </c>
      <c r="F53" t="s">
        <v>1510</v>
      </c>
    </row>
    <row r="54" spans="1:6" x14ac:dyDescent="0.3">
      <c r="A54" s="187">
        <v>45996.638379629629</v>
      </c>
      <c r="B54" t="s">
        <v>1503</v>
      </c>
      <c r="C54" t="s">
        <v>1497</v>
      </c>
      <c r="D54" t="str">
        <f ca="1">MID(CELL("address",INSTALLATION!$B$189),FIND("!",CELL("address",INSTALLATION!$B$189))+1,255)</f>
        <v>$B$189</v>
      </c>
      <c r="E54" t="s">
        <v>1510</v>
      </c>
      <c r="F54" t="s">
        <v>1511</v>
      </c>
    </row>
    <row r="55" spans="1:6" x14ac:dyDescent="0.3">
      <c r="A55" s="187">
        <v>45996.638506944444</v>
      </c>
      <c r="B55" t="s">
        <v>1503</v>
      </c>
      <c r="C55" t="s">
        <v>1497</v>
      </c>
      <c r="D55" t="str">
        <f ca="1">MID(CELL("address",INSTALLATION!$B$190),FIND("!",CELL("address",INSTALLATION!$B$190))+1,255)</f>
        <v>$B$190</v>
      </c>
      <c r="F55" t="s">
        <v>1406</v>
      </c>
    </row>
    <row r="56" spans="1:6" x14ac:dyDescent="0.3">
      <c r="A56" s="187">
        <v>45996.638692129629</v>
      </c>
      <c r="B56" t="s">
        <v>1503</v>
      </c>
      <c r="C56" t="s">
        <v>1497</v>
      </c>
      <c r="D56" t="str">
        <f ca="1">MID(CELL("address",INSTALLATION!$B$190),FIND("!",CELL("address",INSTALLATION!$B$190))+1,255)</f>
        <v>$B$190</v>
      </c>
      <c r="F56" t="s">
        <v>1512</v>
      </c>
    </row>
    <row r="57" spans="1:6" x14ac:dyDescent="0.3">
      <c r="A57" s="187">
        <v>45996.639374999999</v>
      </c>
      <c r="B57" t="s">
        <v>1503</v>
      </c>
      <c r="C57" t="s">
        <v>1497</v>
      </c>
      <c r="D57" t="str">
        <f ca="1">MID(CELL("address",INSTALLATION!$B$189),FIND("!",CELL("address",INSTALLATION!$B$189))+1,255)</f>
        <v>$B$189</v>
      </c>
      <c r="E57" t="s">
        <v>1511</v>
      </c>
      <c r="F57" t="s">
        <v>1513</v>
      </c>
    </row>
    <row r="58" spans="1:6" x14ac:dyDescent="0.3">
      <c r="A58" s="187">
        <v>45996.641041666669</v>
      </c>
      <c r="B58" t="s">
        <v>1503</v>
      </c>
      <c r="C58" t="s">
        <v>1497</v>
      </c>
      <c r="D58" t="str">
        <f ca="1">MID(CELL("address",INSTALLATION!$B$190),FIND("!",CELL("address",INSTALLATION!$B$190))+1,255)</f>
        <v>$B$190</v>
      </c>
      <c r="E58" t="s">
        <v>1512</v>
      </c>
      <c r="F58" t="s">
        <v>1514</v>
      </c>
    </row>
    <row r="59" spans="1:6" x14ac:dyDescent="0.3">
      <c r="A59" s="187">
        <v>45996.641064814816</v>
      </c>
      <c r="B59" t="s">
        <v>1503</v>
      </c>
      <c r="C59" t="s">
        <v>1497</v>
      </c>
      <c r="D59" t="s">
        <v>1515</v>
      </c>
      <c r="E59" t="s">
        <v>1508</v>
      </c>
      <c r="F59" t="s">
        <v>1508</v>
      </c>
    </row>
    <row r="60" spans="1:6" x14ac:dyDescent="0.3">
      <c r="A60" s="187">
        <v>45996.641111111108</v>
      </c>
      <c r="B60" t="s">
        <v>1503</v>
      </c>
      <c r="C60" t="s">
        <v>1497</v>
      </c>
      <c r="D60" t="str">
        <f ca="1">MID(CELL("address",INSTALLATION!$A$191),FIND("!",CELL("address",INSTALLATION!$A$191))+1,255)</f>
        <v>$A$191</v>
      </c>
      <c r="F60" t="s">
        <v>862</v>
      </c>
    </row>
    <row r="61" spans="1:6" x14ac:dyDescent="0.3">
      <c r="A61" s="187">
        <v>45996.641192129631</v>
      </c>
      <c r="B61" t="s">
        <v>1503</v>
      </c>
      <c r="C61" t="s">
        <v>1497</v>
      </c>
      <c r="D61" t="str">
        <f ca="1">MID(CELL("address",INSTALLATION!$B$191),FIND("!",CELL("address",INSTALLATION!$B$191))+1,255)</f>
        <v>$B$191</v>
      </c>
      <c r="F61" t="s">
        <v>1430</v>
      </c>
    </row>
    <row r="62" spans="1:6" x14ac:dyDescent="0.3">
      <c r="A62" s="187">
        <v>45996.641435185185</v>
      </c>
      <c r="B62" t="s">
        <v>1503</v>
      </c>
      <c r="C62" t="s">
        <v>1497</v>
      </c>
      <c r="D62" t="str">
        <f ca="1">MID(CELL("address",INSTALLATION!$B$191),FIND("!",CELL("address",INSTALLATION!$B$191))+1,255)</f>
        <v>$B$191</v>
      </c>
      <c r="F62" t="s">
        <v>1516</v>
      </c>
    </row>
    <row r="63" spans="1:6" x14ac:dyDescent="0.3">
      <c r="A63" s="187">
        <v>45996.641655092593</v>
      </c>
      <c r="B63" t="s">
        <v>1503</v>
      </c>
      <c r="C63" t="s">
        <v>1497</v>
      </c>
      <c r="D63" t="s">
        <v>1517</v>
      </c>
      <c r="E63" t="s">
        <v>1508</v>
      </c>
      <c r="F63" t="s">
        <v>1508</v>
      </c>
    </row>
    <row r="64" spans="1:6" x14ac:dyDescent="0.3">
      <c r="A64" s="187">
        <v>45996.642442129632</v>
      </c>
      <c r="B64" t="s">
        <v>1503</v>
      </c>
      <c r="C64" t="s">
        <v>1497</v>
      </c>
      <c r="D64" t="str">
        <f ca="1">MID(CELL("address",INSTALLATION!$C$191),FIND("!",CELL("address",INSTALLATION!$C$191))+1,255)</f>
        <v>$C$191</v>
      </c>
      <c r="E64" t="s">
        <v>1516</v>
      </c>
      <c r="F64" t="s">
        <v>1518</v>
      </c>
    </row>
    <row r="65" spans="1:6" x14ac:dyDescent="0.3">
      <c r="A65" s="187">
        <v>45996.642500000002</v>
      </c>
      <c r="B65" t="s">
        <v>1503</v>
      </c>
      <c r="C65" t="s">
        <v>1497</v>
      </c>
      <c r="D65" t="str">
        <f ca="1">MID(CELL("address",INSTALLATION!$C$189),FIND("!",CELL("address",INSTALLATION!$C$189))+1,255)</f>
        <v>$C$189</v>
      </c>
      <c r="E65" t="s">
        <v>1513</v>
      </c>
      <c r="F65" t="s">
        <v>1519</v>
      </c>
    </row>
    <row r="66" spans="1:6" x14ac:dyDescent="0.3">
      <c r="A66" s="187">
        <v>45996.658182870371</v>
      </c>
      <c r="B66" t="s">
        <v>1503</v>
      </c>
      <c r="C66" t="s">
        <v>1497</v>
      </c>
      <c r="D66" t="str">
        <f ca="1">MID(CELL("address",INSTALLATION!$B$189),FIND("!",CELL("address",INSTALLATION!$B$189))+1,255)</f>
        <v>$B$189</v>
      </c>
      <c r="E66" t="s">
        <v>1513</v>
      </c>
      <c r="F66" t="s">
        <v>1520</v>
      </c>
    </row>
    <row r="67" spans="1:6" x14ac:dyDescent="0.3">
      <c r="A67" s="187">
        <v>45996.658518518518</v>
      </c>
      <c r="B67" t="s">
        <v>1503</v>
      </c>
      <c r="C67" t="s">
        <v>1497</v>
      </c>
      <c r="D67" t="str">
        <f ca="1">MID(CELL("address",INSTALLATION!$B$189),FIND("!",CELL("address",INSTALLATION!$B$189))+1,255)</f>
        <v>$B$189</v>
      </c>
      <c r="E67" t="s">
        <v>1520</v>
      </c>
      <c r="F67" t="s">
        <v>1521</v>
      </c>
    </row>
    <row r="68" spans="1:6" x14ac:dyDescent="0.3">
      <c r="A68" s="187">
        <v>46029.497719907406</v>
      </c>
      <c r="B68" t="s">
        <v>1503</v>
      </c>
      <c r="C68" t="s">
        <v>1497</v>
      </c>
      <c r="D68" t="s">
        <v>1522</v>
      </c>
      <c r="E68" t="s">
        <v>1508</v>
      </c>
      <c r="F68" t="s">
        <v>1508</v>
      </c>
    </row>
    <row r="69" spans="1:6" x14ac:dyDescent="0.3">
      <c r="A69" s="187">
        <v>46029.497766203705</v>
      </c>
      <c r="B69" t="s">
        <v>1503</v>
      </c>
      <c r="C69" t="s">
        <v>1497</v>
      </c>
      <c r="D69" t="str">
        <f ca="1">MID(CELL("address",INSTALLATION!$A$383),FIND("!",CELL("address",INSTALLATION!$A$383))+1,255)</f>
        <v>$A$383</v>
      </c>
      <c r="F69" t="s">
        <v>1523</v>
      </c>
    </row>
    <row r="70" spans="1:6" x14ac:dyDescent="0.3">
      <c r="A70" s="187">
        <v>46029.497939814813</v>
      </c>
      <c r="B70" t="s">
        <v>1503</v>
      </c>
      <c r="C70" t="s">
        <v>1497</v>
      </c>
      <c r="D70" t="str">
        <f ca="1">MID(CELL("address",INSTALLATION!$B$383),FIND("!",CELL("address",INSTALLATION!$B$383))+1,255)</f>
        <v>$B$383</v>
      </c>
      <c r="F70" t="s">
        <v>1524</v>
      </c>
    </row>
    <row r="71" spans="1:6" x14ac:dyDescent="0.3">
      <c r="A71" s="187">
        <v>46029.497986111113</v>
      </c>
      <c r="B71" t="s">
        <v>1503</v>
      </c>
      <c r="C71" t="s">
        <v>1497</v>
      </c>
      <c r="D71" t="str">
        <f ca="1">MID(CELL("address",INSTALLATION!$C$383),FIND("!",CELL("address",INSTALLATION!$C$383))+1,255)</f>
        <v>$C$383</v>
      </c>
      <c r="F71" t="s">
        <v>1524</v>
      </c>
    </row>
    <row r="72" spans="1:6" x14ac:dyDescent="0.3">
      <c r="A72" s="187">
        <v>46029.499745370369</v>
      </c>
      <c r="B72" t="s">
        <v>1503</v>
      </c>
      <c r="C72" t="s">
        <v>1497</v>
      </c>
      <c r="D72" t="str">
        <f ca="1">MID(CELL("address",INSTALLATION!$B$382),FIND("!",CELL("address",INSTALLATION!$B$382))+1,255)</f>
        <v>$B$382</v>
      </c>
      <c r="E72" t="s">
        <v>839</v>
      </c>
      <c r="F72" t="s">
        <v>1525</v>
      </c>
    </row>
    <row r="73" spans="1:6" x14ac:dyDescent="0.3">
      <c r="A73" s="187">
        <v>46029.499837962961</v>
      </c>
      <c r="B73" t="s">
        <v>1503</v>
      </c>
      <c r="C73" t="s">
        <v>1497</v>
      </c>
      <c r="D73" t="s">
        <v>1526</v>
      </c>
      <c r="E73" t="s">
        <v>1508</v>
      </c>
      <c r="F73" t="s">
        <v>1508</v>
      </c>
    </row>
    <row r="74" spans="1:6" x14ac:dyDescent="0.3">
      <c r="A74" s="187">
        <v>46029.499872685185</v>
      </c>
      <c r="B74" t="s">
        <v>1503</v>
      </c>
      <c r="C74" t="s">
        <v>1497</v>
      </c>
      <c r="D74" t="str">
        <f ca="1">MID(CELL("address",INSTALLATION!$A$381),FIND("!",CELL("address",INSTALLATION!$A$381))+1,255)</f>
        <v>$A$381</v>
      </c>
      <c r="F74" t="s">
        <v>1527</v>
      </c>
    </row>
    <row r="75" spans="1:6" x14ac:dyDescent="0.3">
      <c r="A75" s="187">
        <v>46029.499965277777</v>
      </c>
      <c r="B75" t="s">
        <v>1503</v>
      </c>
      <c r="C75" t="s">
        <v>1497</v>
      </c>
      <c r="D75" t="str">
        <f ca="1">MID(CELL("address",INSTALLATION!$B$382),FIND("!",CELL("address",INSTALLATION!$B$382))+1,255)</f>
        <v>$B$382</v>
      </c>
      <c r="E75" t="s">
        <v>1525</v>
      </c>
      <c r="F75" t="s">
        <v>1525</v>
      </c>
    </row>
    <row r="76" spans="1:6" x14ac:dyDescent="0.3">
      <c r="A76" s="187">
        <v>46029.499965277777</v>
      </c>
      <c r="B76" t="s">
        <v>1503</v>
      </c>
      <c r="C76" t="s">
        <v>1497</v>
      </c>
      <c r="D76" t="str">
        <f ca="1">MID(CELL("address",INSTALLATION!$C$382),FIND("!",CELL("address",INSTALLATION!$C$382))+1,255)</f>
        <v>$C$382</v>
      </c>
      <c r="E76" t="s">
        <v>839</v>
      </c>
      <c r="F76" t="s">
        <v>1525</v>
      </c>
    </row>
    <row r="77" spans="1:6" x14ac:dyDescent="0.3">
      <c r="A77" s="187">
        <v>46029.500381944446</v>
      </c>
      <c r="B77" t="s">
        <v>1503</v>
      </c>
      <c r="C77" t="s">
        <v>1499</v>
      </c>
      <c r="D77" t="s">
        <v>1528</v>
      </c>
      <c r="E77" t="s">
        <v>1508</v>
      </c>
      <c r="F77" t="s">
        <v>1508</v>
      </c>
    </row>
    <row r="78" spans="1:6" x14ac:dyDescent="0.3">
      <c r="A78" s="187">
        <v>46029.500416666669</v>
      </c>
      <c r="B78" t="s">
        <v>1503</v>
      </c>
      <c r="C78" t="s">
        <v>1499</v>
      </c>
      <c r="D78" t="str">
        <f ca="1">MID(CELL("address",'Interfaccia di selezione'!$AP$9),FIND("!",CELL("address",'Interfaccia di selezione'!$AP$9))+1,255)</f>
        <v>$AP$9</v>
      </c>
      <c r="F78" t="s">
        <v>1527</v>
      </c>
    </row>
    <row r="79" spans="1:6" x14ac:dyDescent="0.3">
      <c r="A79" s="187">
        <v>46029.500428240739</v>
      </c>
      <c r="B79" t="s">
        <v>1503</v>
      </c>
      <c r="C79" t="s">
        <v>1499</v>
      </c>
      <c r="D79" t="str">
        <f ca="1">MID(CELL("address",'Interfaccia di selezione'!$AP$10),FIND("!",CELL("address",'Interfaccia di selezione'!$AP$10))+1,255)</f>
        <v>$AP$10</v>
      </c>
      <c r="F79">
        <v>7</v>
      </c>
    </row>
    <row r="80" spans="1:6" x14ac:dyDescent="0.3">
      <c r="A80" s="187">
        <v>46029.500613425924</v>
      </c>
      <c r="B80" t="s">
        <v>1503</v>
      </c>
      <c r="C80" t="s">
        <v>1499</v>
      </c>
      <c r="D80" t="s">
        <v>1529</v>
      </c>
      <c r="E80" t="s">
        <v>1508</v>
      </c>
      <c r="F80" t="s">
        <v>1508</v>
      </c>
    </row>
    <row r="81" spans="1:6" x14ac:dyDescent="0.3">
      <c r="A81" s="187">
        <v>46029.500659722224</v>
      </c>
      <c r="B81" t="s">
        <v>1503</v>
      </c>
      <c r="C81" t="s">
        <v>1499</v>
      </c>
      <c r="D81" t="str">
        <f ca="1">MID(CELL("address",'Interfaccia di selezione'!$AS$9),FIND("!",CELL("address",'Interfaccia di selezione'!$AS$9))+1,255)</f>
        <v>$AS$9</v>
      </c>
      <c r="F81" t="s">
        <v>1523</v>
      </c>
    </row>
    <row r="82" spans="1:6" x14ac:dyDescent="0.3">
      <c r="A82" s="187">
        <v>46029.500706018516</v>
      </c>
      <c r="B82" t="s">
        <v>1503</v>
      </c>
      <c r="C82" t="s">
        <v>1499</v>
      </c>
      <c r="D82" t="str">
        <f ca="1">MID(CELL("address",'Interfaccia di selezione'!$AS$10),FIND("!",CELL("address",'Interfaccia di selezione'!$AS$10))+1,255)</f>
        <v>$AS$10</v>
      </c>
      <c r="F82">
        <v>16</v>
      </c>
    </row>
    <row r="83" spans="1:6" x14ac:dyDescent="0.3">
      <c r="A83" s="187">
        <v>46029.501840277779</v>
      </c>
      <c r="B83" t="s">
        <v>1503</v>
      </c>
      <c r="C83" t="s">
        <v>1497</v>
      </c>
      <c r="D83" t="str">
        <f ca="1">MID(CELL("address",INSTALLATION!$B$381),FIND("!",CELL("address",INSTALLATION!$B$381))+1,255)</f>
        <v>$B$381</v>
      </c>
      <c r="F83" t="s">
        <v>1530</v>
      </c>
    </row>
    <row r="84" spans="1:6" x14ac:dyDescent="0.3">
      <c r="A84" s="187">
        <v>46029.501863425925</v>
      </c>
      <c r="B84" t="s">
        <v>1503</v>
      </c>
      <c r="C84" t="s">
        <v>1497</v>
      </c>
      <c r="D84" t="str">
        <f ca="1">MID(CELL("address",INSTALLATION!$C$381),FIND("!",CELL("address",INSTALLATION!$C$381))+1,255)</f>
        <v>$C$381</v>
      </c>
      <c r="F84" t="s">
        <v>1530</v>
      </c>
    </row>
    <row r="85" spans="1:6" x14ac:dyDescent="0.3">
      <c r="A85" s="187">
        <v>46029.511192129627</v>
      </c>
      <c r="B85" t="s">
        <v>1503</v>
      </c>
      <c r="C85" t="s">
        <v>1495</v>
      </c>
      <c r="D85" t="str">
        <f ca="1">MID(CELL("address",Tabelle!$L$227),FIND("!",CELL("address",Tabelle!$L$227))+1,255)</f>
        <v>$L$227</v>
      </c>
      <c r="F85">
        <v>3830</v>
      </c>
    </row>
    <row r="86" spans="1:6" x14ac:dyDescent="0.3">
      <c r="A86" s="187">
        <v>46029.511307870373</v>
      </c>
      <c r="B86" t="s">
        <v>1503</v>
      </c>
      <c r="C86" t="s">
        <v>1495</v>
      </c>
      <c r="D86" t="s">
        <v>1531</v>
      </c>
      <c r="E86" t="s">
        <v>1508</v>
      </c>
      <c r="F86" t="s">
        <v>1508</v>
      </c>
    </row>
    <row r="87" spans="1:6" x14ac:dyDescent="0.3">
      <c r="A87" s="187">
        <v>46029.511377314811</v>
      </c>
      <c r="B87" t="s">
        <v>1503</v>
      </c>
      <c r="C87" t="s">
        <v>1495</v>
      </c>
      <c r="D87" t="s">
        <v>1532</v>
      </c>
      <c r="E87" t="s">
        <v>1508</v>
      </c>
      <c r="F87" t="s">
        <v>1508</v>
      </c>
    </row>
    <row r="88" spans="1:6" x14ac:dyDescent="0.3">
      <c r="A88" s="187">
        <v>46029.511435185188</v>
      </c>
      <c r="B88" t="s">
        <v>1503</v>
      </c>
      <c r="C88" t="s">
        <v>1495</v>
      </c>
      <c r="D88" t="s">
        <v>1533</v>
      </c>
      <c r="E88" t="s">
        <v>1508</v>
      </c>
      <c r="F88" t="s">
        <v>1508</v>
      </c>
    </row>
    <row r="89" spans="1:6" x14ac:dyDescent="0.3">
      <c r="A89" s="187">
        <v>46029.51152777778</v>
      </c>
      <c r="B89" t="s">
        <v>1503</v>
      </c>
      <c r="C89" t="s">
        <v>1495</v>
      </c>
      <c r="D89" t="str">
        <f ca="1">MID(CELL("address",Tabelle!$L$227),FIND("!",CELL("address",Tabelle!$L$227))+1,255)</f>
        <v>$L$227</v>
      </c>
      <c r="E89">
        <v>3830</v>
      </c>
      <c r="F89">
        <v>3830</v>
      </c>
    </row>
    <row r="90" spans="1:6" x14ac:dyDescent="0.3">
      <c r="A90" s="187">
        <v>46029.511550925927</v>
      </c>
      <c r="B90" t="s">
        <v>1503</v>
      </c>
      <c r="C90" t="s">
        <v>1495</v>
      </c>
      <c r="D90" t="str">
        <f ca="1">MID(CELL("address",Tabelle!$M$227),FIND("!",CELL("address",Tabelle!$M$227))+1,255)</f>
        <v>$M$227</v>
      </c>
      <c r="F90">
        <v>870</v>
      </c>
    </row>
    <row r="91" spans="1:6" x14ac:dyDescent="0.3">
      <c r="A91" s="187">
        <v>46029.511574074073</v>
      </c>
      <c r="B91" t="s">
        <v>1503</v>
      </c>
      <c r="C91" t="s">
        <v>1495</v>
      </c>
      <c r="D91" t="str">
        <f ca="1">MID(CELL("address",Tabelle!$N$227),FIND("!",CELL("address",Tabelle!$N$227))+1,255)</f>
        <v>$N$227</v>
      </c>
      <c r="F91">
        <v>992</v>
      </c>
    </row>
    <row r="92" spans="1:6" x14ac:dyDescent="0.3">
      <c r="A92" s="187">
        <v>46029.511840277781</v>
      </c>
      <c r="B92" t="s">
        <v>1503</v>
      </c>
      <c r="C92" t="s">
        <v>1495</v>
      </c>
      <c r="D92" t="str">
        <f ca="1">MID(CELL("address",Tabelle!$O$227),FIND("!",CELL("address",Tabelle!$O$227))+1,255)</f>
        <v>$O$227</v>
      </c>
      <c r="F92">
        <v>273</v>
      </c>
    </row>
    <row r="93" spans="1:6" x14ac:dyDescent="0.3">
      <c r="A93" s="187">
        <v>46029.51189814815</v>
      </c>
      <c r="B93" t="s">
        <v>1503</v>
      </c>
      <c r="C93" t="s">
        <v>1495</v>
      </c>
      <c r="D93" t="str">
        <f ca="1">MID(CELL("address",Tabelle!$P$227),FIND("!",CELL("address",Tabelle!$P$227))+1,255)</f>
        <v>$P$227</v>
      </c>
      <c r="F93" t="s">
        <v>874</v>
      </c>
    </row>
    <row r="94" spans="1:6" x14ac:dyDescent="0.3">
      <c r="A94" s="187">
        <v>46029.511990740742</v>
      </c>
      <c r="B94" t="s">
        <v>1503</v>
      </c>
      <c r="C94" t="s">
        <v>1495</v>
      </c>
      <c r="D94" t="str">
        <f ca="1">MID(CELL("address",Tabelle!$L$234),FIND("!",CELL("address",Tabelle!$L$234))+1,255)</f>
        <v>$L$234</v>
      </c>
      <c r="E94">
        <v>3830</v>
      </c>
      <c r="F94">
        <v>4270</v>
      </c>
    </row>
    <row r="95" spans="1:6" x14ac:dyDescent="0.3">
      <c r="A95" s="187">
        <v>46029.512418981481</v>
      </c>
      <c r="B95" t="s">
        <v>1503</v>
      </c>
      <c r="C95" t="s">
        <v>1495</v>
      </c>
      <c r="D95" t="str">
        <f ca="1">MID(CELL("address",Tabelle!$M$234),FIND("!",CELL("address",Tabelle!$M$234))+1,255)</f>
        <v>$M$234</v>
      </c>
      <c r="E95">
        <v>870</v>
      </c>
      <c r="F95">
        <v>1464</v>
      </c>
    </row>
    <row r="96" spans="1:6" x14ac:dyDescent="0.3">
      <c r="A96" s="187">
        <v>46029.512465277781</v>
      </c>
      <c r="B96" t="s">
        <v>1503</v>
      </c>
      <c r="C96" t="s">
        <v>1495</v>
      </c>
      <c r="D96" t="str">
        <f ca="1">MID(CELL("address",Tabelle!$N$234),FIND("!",CELL("address",Tabelle!$N$234))+1,255)</f>
        <v>$N$234</v>
      </c>
      <c r="E96">
        <v>992</v>
      </c>
      <c r="F96">
        <v>1356</v>
      </c>
    </row>
    <row r="97" spans="1:6" x14ac:dyDescent="0.3">
      <c r="A97" s="187">
        <v>46029.51258101852</v>
      </c>
      <c r="B97" t="s">
        <v>1503</v>
      </c>
      <c r="C97" t="s">
        <v>1495</v>
      </c>
      <c r="D97" t="s">
        <v>1532</v>
      </c>
      <c r="E97" t="s">
        <v>1508</v>
      </c>
      <c r="F97" t="s">
        <v>1508</v>
      </c>
    </row>
    <row r="98" spans="1:6" x14ac:dyDescent="0.3">
      <c r="A98" s="187">
        <v>46029.512638888889</v>
      </c>
      <c r="B98" t="s">
        <v>1503</v>
      </c>
      <c r="C98" t="s">
        <v>1495</v>
      </c>
      <c r="D98" t="s">
        <v>1534</v>
      </c>
      <c r="E98" t="s">
        <v>1508</v>
      </c>
      <c r="F98" t="s">
        <v>1508</v>
      </c>
    </row>
    <row r="99" spans="1:6" x14ac:dyDescent="0.3">
      <c r="A99" s="187">
        <v>46029.512719907405</v>
      </c>
      <c r="B99" t="s">
        <v>1503</v>
      </c>
      <c r="C99" t="s">
        <v>1495</v>
      </c>
      <c r="D99" t="str">
        <f ca="1">MID(CELL("address",Tabelle!$L$236),FIND("!",CELL("address",Tabelle!$L$236))+1,255)</f>
        <v>$L$236</v>
      </c>
      <c r="F99">
        <v>5520</v>
      </c>
    </row>
    <row r="100" spans="1:6" x14ac:dyDescent="0.3">
      <c r="A100" s="187">
        <v>46029.512789351851</v>
      </c>
      <c r="B100" t="s">
        <v>1503</v>
      </c>
      <c r="C100" t="s">
        <v>1495</v>
      </c>
      <c r="D100" t="str">
        <f ca="1">MID(CELL("address",Tabelle!$M$236),FIND("!",CELL("address",Tabelle!$M$236))+1,255)</f>
        <v>$M$236</v>
      </c>
      <c r="F100">
        <v>1464</v>
      </c>
    </row>
    <row r="101" spans="1:6" x14ac:dyDescent="0.3">
      <c r="A101" s="187">
        <v>46029.512858796297</v>
      </c>
      <c r="B101" t="s">
        <v>1503</v>
      </c>
      <c r="C101" t="s">
        <v>1495</v>
      </c>
      <c r="D101" t="str">
        <f ca="1">MID(CELL("address",Tabelle!$N$236),FIND("!",CELL("address",Tabelle!$N$236))+1,255)</f>
        <v>$N$236</v>
      </c>
      <c r="F101">
        <v>1356</v>
      </c>
    </row>
    <row r="102" spans="1:6" x14ac:dyDescent="0.3">
      <c r="A102" s="187">
        <v>46029.513055555559</v>
      </c>
      <c r="B102" t="s">
        <v>1503</v>
      </c>
      <c r="C102" t="s">
        <v>1495</v>
      </c>
      <c r="D102" t="str">
        <f ca="1">MID(CELL("address",Tabelle!$O$234),FIND("!",CELL("address",Tabelle!$O$234))+1,255)</f>
        <v>$O$234</v>
      </c>
      <c r="E102">
        <v>655</v>
      </c>
      <c r="F102">
        <v>395</v>
      </c>
    </row>
    <row r="103" spans="1:6" x14ac:dyDescent="0.3">
      <c r="A103" s="187">
        <v>46029.513171296298</v>
      </c>
      <c r="B103" t="s">
        <v>1503</v>
      </c>
      <c r="C103" t="s">
        <v>1495</v>
      </c>
      <c r="D103" t="str">
        <f ca="1">MID(CELL("address",Tabelle!$P$234),FIND("!",CELL("address",Tabelle!$P$234))+1,255)</f>
        <v>$P$234</v>
      </c>
      <c r="E103" t="s">
        <v>875</v>
      </c>
      <c r="F103" t="s">
        <v>1535</v>
      </c>
    </row>
    <row r="104" spans="1:6" x14ac:dyDescent="0.3">
      <c r="A104" s="187">
        <v>46029.513379629629</v>
      </c>
      <c r="B104" t="s">
        <v>1503</v>
      </c>
      <c r="C104" t="s">
        <v>1495</v>
      </c>
      <c r="D104" t="str">
        <f ca="1">MID(CELL("address",Tabelle!$P$236),FIND("!",CELL("address",Tabelle!$P$236))+1,255)</f>
        <v>$P$236</v>
      </c>
      <c r="F104" t="s">
        <v>1536</v>
      </c>
    </row>
    <row r="105" spans="1:6" x14ac:dyDescent="0.3">
      <c r="A105" s="187">
        <v>46029.513414351852</v>
      </c>
      <c r="B105" t="s">
        <v>1503</v>
      </c>
      <c r="C105" t="s">
        <v>1495</v>
      </c>
      <c r="D105" t="str">
        <f ca="1">MID(CELL("address",Tabelle!$O$236),FIND("!",CELL("address",Tabelle!$O$236))+1,255)</f>
        <v>$O$236</v>
      </c>
      <c r="F105">
        <v>599</v>
      </c>
    </row>
    <row r="106" spans="1:6" x14ac:dyDescent="0.3">
      <c r="A106" s="187">
        <v>46080.673263888886</v>
      </c>
      <c r="B106" t="s">
        <v>1537</v>
      </c>
      <c r="C106" t="s">
        <v>1499</v>
      </c>
      <c r="D106" t="str">
        <f ca="1">MID(CELL("address",'Interfaccia di selezione'!$BB$37),FIND("!",CELL("address",'Interfaccia di selezione'!$BB$37))+1,255)</f>
        <v>$BB$37</v>
      </c>
      <c r="F106">
        <v>29</v>
      </c>
    </row>
    <row r="107" spans="1:6" x14ac:dyDescent="0.3">
      <c r="A107" s="187">
        <v>46080.673356481479</v>
      </c>
      <c r="B107" t="s">
        <v>1537</v>
      </c>
      <c r="C107" t="s">
        <v>1499</v>
      </c>
      <c r="D107" t="str">
        <f ca="1">MID(CELL("address",'Interfaccia di selezione'!$BC$37),FIND("!",CELL("address",'Interfaccia di selezione'!$BC$37))+1,255)</f>
        <v>$BC$37</v>
      </c>
      <c r="F107" t="s">
        <v>1538</v>
      </c>
    </row>
    <row r="108" spans="1:6" x14ac:dyDescent="0.3">
      <c r="A108" s="187">
        <v>46080.673472222225</v>
      </c>
      <c r="B108" t="s">
        <v>1537</v>
      </c>
      <c r="C108" t="s">
        <v>1499</v>
      </c>
      <c r="D108" t="str">
        <f ca="1">MID(CELL("address",'Interfaccia di selezione'!$BD$37),FIND("!",CELL("address",'Interfaccia di selezione'!$BD$37))+1,255)</f>
        <v>$BD$37</v>
      </c>
      <c r="F108" t="s">
        <v>1539</v>
      </c>
    </row>
    <row r="109" spans="1:6" x14ac:dyDescent="0.3">
      <c r="A109" s="187">
        <v>46080.673726851855</v>
      </c>
      <c r="B109" t="s">
        <v>1537</v>
      </c>
      <c r="C109" t="s">
        <v>1499</v>
      </c>
      <c r="D109" t="str">
        <f ca="1">MID(CELL("address",'Interfaccia di selezione'!$F$39),FIND("!",CELL("address",'Interfaccia di selezione'!$F$39))+1,255)</f>
        <v>$F$39</v>
      </c>
      <c r="F109" t="s">
        <v>1540</v>
      </c>
    </row>
    <row r="110" spans="1:6" x14ac:dyDescent="0.3">
      <c r="A110" s="187">
        <v>46080.673750000002</v>
      </c>
      <c r="B110" t="s">
        <v>1537</v>
      </c>
      <c r="C110" t="s">
        <v>1499</v>
      </c>
      <c r="D110" t="str">
        <f ca="1">MID(CELL("address",'Interfaccia di selezione'!$G$39),FIND("!",CELL("address",'Interfaccia di selezione'!$G$39))+1,255)</f>
        <v>$G$39</v>
      </c>
      <c r="F110">
        <v>28</v>
      </c>
    </row>
    <row r="111" spans="1:6" x14ac:dyDescent="0.3">
      <c r="A111" s="187">
        <v>46080.673900462964</v>
      </c>
      <c r="B111" t="s">
        <v>1537</v>
      </c>
      <c r="C111" t="s">
        <v>1499</v>
      </c>
      <c r="D111" t="str">
        <f ca="1">MID(CELL("address",'Interfaccia di selezione'!$F$39),FIND("!",CELL("address",'Interfaccia di selezione'!$F$39))+1,255)</f>
        <v>$F$39</v>
      </c>
      <c r="E111" t="s">
        <v>1540</v>
      </c>
      <c r="F111" t="s">
        <v>1542</v>
      </c>
    </row>
    <row r="112" spans="1:6" x14ac:dyDescent="0.3">
      <c r="A112" s="187">
        <v>46080.67396990741</v>
      </c>
      <c r="B112" t="s">
        <v>1537</v>
      </c>
      <c r="C112" t="s">
        <v>1499</v>
      </c>
      <c r="D112" t="str">
        <f ca="1">MID(CELL("address",'Interfaccia di selezione'!$G$39),FIND("!",CELL("address",'Interfaccia di selezione'!$G$39))+1,255)</f>
        <v>$G$39</v>
      </c>
      <c r="E112">
        <v>28</v>
      </c>
      <c r="F112">
        <v>29</v>
      </c>
    </row>
    <row r="113" spans="1:6" x14ac:dyDescent="0.3">
      <c r="A113" s="187">
        <v>46080.674189814818</v>
      </c>
      <c r="B113" t="s">
        <v>1537</v>
      </c>
      <c r="C113" t="s">
        <v>1499</v>
      </c>
      <c r="D113" t="str">
        <f ca="1">MID(CELL("address",'Interfaccia di selezione'!$M$39),FIND("!",CELL("address",'Interfaccia di selezione'!$M$39))+1,255)</f>
        <v>$M$39</v>
      </c>
      <c r="F113">
        <v>28</v>
      </c>
    </row>
    <row r="114" spans="1:6" x14ac:dyDescent="0.3">
      <c r="A114" s="187">
        <v>46080.674212962964</v>
      </c>
      <c r="B114" t="s">
        <v>1537</v>
      </c>
      <c r="C114" t="s">
        <v>1499</v>
      </c>
      <c r="D114" t="str">
        <f ca="1">MID(CELL("address",'Interfaccia di selezione'!$M$39),FIND("!",CELL("address",'Interfaccia di selezione'!$M$39))+1,255)</f>
        <v>$M$39</v>
      </c>
      <c r="E114">
        <v>28</v>
      </c>
      <c r="F114">
        <v>29</v>
      </c>
    </row>
    <row r="115" spans="1:6" x14ac:dyDescent="0.3">
      <c r="A115" s="187">
        <v>46080.674259259256</v>
      </c>
      <c r="B115" t="s">
        <v>1537</v>
      </c>
      <c r="C115" t="s">
        <v>1499</v>
      </c>
      <c r="D115" t="str">
        <f ca="1">MID(CELL("address",'Interfaccia di selezione'!$N$34),FIND("!",CELL("address",'Interfaccia di selezione'!$N$34))+1,255)</f>
        <v>$N$34</v>
      </c>
      <c r="F115">
        <v>28</v>
      </c>
    </row>
    <row r="116" spans="1:6" x14ac:dyDescent="0.3">
      <c r="A116" s="187">
        <v>46080.67428240741</v>
      </c>
      <c r="B116" t="s">
        <v>1537</v>
      </c>
      <c r="C116" t="s">
        <v>1499</v>
      </c>
      <c r="D116" t="str">
        <f ca="1">MID(CELL("address",'Interfaccia di selezione'!$N$34),FIND("!",CELL("address",'Interfaccia di selezione'!$N$34))+1,255)</f>
        <v>$N$34</v>
      </c>
      <c r="E116">
        <v>28</v>
      </c>
      <c r="F116">
        <v>29</v>
      </c>
    </row>
    <row r="117" spans="1:6" x14ac:dyDescent="0.3">
      <c r="A117" s="187">
        <v>46080.674340277779</v>
      </c>
      <c r="B117" t="s">
        <v>1537</v>
      </c>
      <c r="C117" t="s">
        <v>1499</v>
      </c>
      <c r="D117" t="str">
        <f ca="1">MID(CELL("address",'Interfaccia di selezione'!$Q$20),FIND("!",CELL("address",'Interfaccia di selezione'!$Q$20))+1,255)</f>
        <v>$Q$20</v>
      </c>
      <c r="F117">
        <v>29</v>
      </c>
    </row>
    <row r="118" spans="1:6" x14ac:dyDescent="0.3">
      <c r="A118" s="187">
        <v>46080.674444444441</v>
      </c>
      <c r="B118" t="s">
        <v>1537</v>
      </c>
      <c r="C118" t="s">
        <v>1499</v>
      </c>
      <c r="D118" t="str">
        <f ca="1">MID(CELL("address",'Interfaccia di selezione'!$U$22),FIND("!",CELL("address",'Interfaccia di selezione'!$U$22))+1,255)</f>
        <v>$U$22</v>
      </c>
      <c r="F118">
        <v>28</v>
      </c>
    </row>
    <row r="119" spans="1:6" x14ac:dyDescent="0.3">
      <c r="A119" s="187">
        <v>46080.674479166664</v>
      </c>
      <c r="B119" t="s">
        <v>1537</v>
      </c>
      <c r="C119" t="s">
        <v>1499</v>
      </c>
      <c r="D119" t="str">
        <f ca="1">MID(CELL("address",'Interfaccia di selezione'!$U$22),FIND("!",CELL("address",'Interfaccia di selezione'!$U$22))+1,255)</f>
        <v>$U$22</v>
      </c>
      <c r="E119">
        <v>28</v>
      </c>
      <c r="F119">
        <v>29</v>
      </c>
    </row>
    <row r="120" spans="1:6" x14ac:dyDescent="0.3">
      <c r="A120" s="187">
        <v>46080.674537037034</v>
      </c>
      <c r="B120" t="s">
        <v>1537</v>
      </c>
      <c r="C120" t="s">
        <v>1499</v>
      </c>
      <c r="D120" t="str">
        <f ca="1">MID(CELL("address",'Interfaccia di selezione'!$V$27),FIND("!",CELL("address",'Interfaccia di selezione'!$V$27))+1,255)</f>
        <v>$V$27</v>
      </c>
      <c r="F120">
        <v>28</v>
      </c>
    </row>
    <row r="121" spans="1:6" x14ac:dyDescent="0.3">
      <c r="A121" s="187">
        <v>46080.674560185187</v>
      </c>
      <c r="B121" t="s">
        <v>1537</v>
      </c>
      <c r="C121" t="s">
        <v>1499</v>
      </c>
      <c r="D121" t="str">
        <f ca="1">MID(CELL("address",'Interfaccia di selezione'!$V$27),FIND("!",CELL("address",'Interfaccia di selezione'!$V$27))+1,255)</f>
        <v>$V$27</v>
      </c>
      <c r="E121">
        <v>28</v>
      </c>
      <c r="F121">
        <v>29</v>
      </c>
    </row>
    <row r="122" spans="1:6" x14ac:dyDescent="0.3">
      <c r="A122" s="187">
        <v>46080.674641203703</v>
      </c>
      <c r="B122" t="s">
        <v>1537</v>
      </c>
      <c r="C122" t="s">
        <v>1499</v>
      </c>
      <c r="D122" t="str">
        <f ca="1">MID(CELL("address",'Interfaccia di selezione'!$X$33),FIND("!",CELL("address",'Interfaccia di selezione'!$X$33))+1,255)</f>
        <v>$X$33</v>
      </c>
      <c r="F122">
        <v>29</v>
      </c>
    </row>
    <row r="123" spans="1:6" x14ac:dyDescent="0.3">
      <c r="A123" s="187">
        <v>46080.675312500003</v>
      </c>
      <c r="B123" t="s">
        <v>1537</v>
      </c>
      <c r="C123" t="s">
        <v>1499</v>
      </c>
      <c r="D123" t="s">
        <v>1543</v>
      </c>
      <c r="E123" t="s">
        <v>1508</v>
      </c>
      <c r="F123" t="s">
        <v>1508</v>
      </c>
    </row>
    <row r="124" spans="1:6" x14ac:dyDescent="0.3">
      <c r="A124" s="187">
        <v>46080.675451388888</v>
      </c>
      <c r="B124" t="s">
        <v>1537</v>
      </c>
      <c r="C124" t="s">
        <v>1499</v>
      </c>
      <c r="D124" t="s">
        <v>1544</v>
      </c>
      <c r="E124" t="s">
        <v>1508</v>
      </c>
      <c r="F124" t="s">
        <v>1508</v>
      </c>
    </row>
    <row r="125" spans="1:6" x14ac:dyDescent="0.3">
      <c r="A125" s="187">
        <v>46080.675451388888</v>
      </c>
      <c r="B125" t="s">
        <v>1537</v>
      </c>
      <c r="C125" t="s">
        <v>1499</v>
      </c>
      <c r="D125" t="s">
        <v>1545</v>
      </c>
      <c r="E125" t="s">
        <v>1508</v>
      </c>
      <c r="F125" t="s">
        <v>1508</v>
      </c>
    </row>
    <row r="126" spans="1:6" x14ac:dyDescent="0.3">
      <c r="A126" s="187">
        <v>46080.675567129627</v>
      </c>
      <c r="B126" t="s">
        <v>1537</v>
      </c>
      <c r="C126" t="s">
        <v>1499</v>
      </c>
      <c r="D126" t="str">
        <f ca="1">MID(CELL("address",'Interfaccia di selezione'!$AU$9),FIND("!",CELL("address",'Interfaccia di selezione'!$AU$9))+1,255)</f>
        <v>$AU$9</v>
      </c>
      <c r="F126" t="s">
        <v>1546</v>
      </c>
    </row>
    <row r="127" spans="1:6" x14ac:dyDescent="0.3">
      <c r="A127" s="187">
        <v>46080.675659722219</v>
      </c>
      <c r="B127" t="s">
        <v>1537</v>
      </c>
      <c r="C127" t="s">
        <v>1499</v>
      </c>
      <c r="D127" t="str">
        <f ca="1">MID(CELL("address",'Interfaccia di selezione'!$AU$10),FIND("!",CELL("address",'Interfaccia di selezione'!$AU$10))+1,255)</f>
        <v>$AU$10</v>
      </c>
      <c r="F127">
        <v>29</v>
      </c>
    </row>
    <row r="128" spans="1:6" x14ac:dyDescent="0.3">
      <c r="A128" s="187">
        <v>46080.675694444442</v>
      </c>
      <c r="B128" t="s">
        <v>1537</v>
      </c>
      <c r="C128" t="s">
        <v>1499</v>
      </c>
      <c r="D128" t="s">
        <v>1544</v>
      </c>
      <c r="E128" t="s">
        <v>1508</v>
      </c>
      <c r="F128" t="s">
        <v>1508</v>
      </c>
    </row>
    <row r="129" spans="1:6" x14ac:dyDescent="0.3">
      <c r="A129" s="187">
        <v>46083.371412037035</v>
      </c>
      <c r="B129" t="s">
        <v>1537</v>
      </c>
      <c r="C129" t="s">
        <v>1495</v>
      </c>
      <c r="D129" s="191">
        <v>2.0756944444444443</v>
      </c>
      <c r="E129" t="s">
        <v>1508</v>
      </c>
      <c r="F129" t="s">
        <v>1508</v>
      </c>
    </row>
    <row r="130" spans="1:6" x14ac:dyDescent="0.3">
      <c r="A130" s="187">
        <v>46083.371469907404</v>
      </c>
      <c r="B130" t="s">
        <v>1537</v>
      </c>
      <c r="C130" t="s">
        <v>1495</v>
      </c>
      <c r="D130" t="str">
        <f ca="1">MID(CELL("address",Tabelle!$T$49),FIND("!",CELL("address",Tabelle!$T$49))+1,255)</f>
        <v>$T$49</v>
      </c>
      <c r="F130">
        <v>29</v>
      </c>
    </row>
    <row r="131" spans="1:6" x14ac:dyDescent="0.3">
      <c r="A131" s="187">
        <v>46083.37159722222</v>
      </c>
      <c r="B131" t="s">
        <v>1537</v>
      </c>
      <c r="C131" t="s">
        <v>1495</v>
      </c>
      <c r="D131" t="str">
        <f ca="1">MID(CELL("address",Tabelle!$U$49),FIND("!",CELL("address",Tabelle!$U$49))+1,255)</f>
        <v>$U$49</v>
      </c>
      <c r="F131" t="s">
        <v>1547</v>
      </c>
    </row>
    <row r="132" spans="1:6" x14ac:dyDescent="0.3">
      <c r="A132" s="187">
        <v>46083.371967592589</v>
      </c>
      <c r="B132" t="s">
        <v>1537</v>
      </c>
      <c r="C132" t="s">
        <v>1495</v>
      </c>
      <c r="D132" t="str">
        <f ca="1">MID(CELL("address",Tabelle!$V$49),FIND("!",CELL("address",Tabelle!$V$49))+1,255)</f>
        <v>$V$49</v>
      </c>
      <c r="F132" t="s">
        <v>263</v>
      </c>
    </row>
    <row r="133" spans="1:6" x14ac:dyDescent="0.3">
      <c r="A133" s="187">
        <v>46083.372013888889</v>
      </c>
      <c r="B133" t="s">
        <v>1537</v>
      </c>
      <c r="C133" t="s">
        <v>1495</v>
      </c>
      <c r="D133" t="str">
        <f ca="1">MID(CELL("address",Tabelle!$W$49),FIND("!",CELL("address",Tabelle!$W$49))+1,255)</f>
        <v>$W$49</v>
      </c>
      <c r="F133" t="s">
        <v>268</v>
      </c>
    </row>
    <row r="134" spans="1:6" x14ac:dyDescent="0.3">
      <c r="A134" s="187">
        <v>46083.372025462966</v>
      </c>
      <c r="B134" t="s">
        <v>1537</v>
      </c>
      <c r="C134" t="s">
        <v>1495</v>
      </c>
      <c r="D134" t="str">
        <f ca="1">MID(CELL("address",Tabelle!$X$49),FIND("!",CELL("address",Tabelle!$X$49))+1,255)</f>
        <v>$X$49</v>
      </c>
      <c r="F134" t="s">
        <v>1548</v>
      </c>
    </row>
    <row r="135" spans="1:6" x14ac:dyDescent="0.3">
      <c r="A135" s="187">
        <v>46083.372048611112</v>
      </c>
      <c r="B135" t="s">
        <v>1537</v>
      </c>
      <c r="C135" t="s">
        <v>1495</v>
      </c>
      <c r="D135" t="str">
        <f ca="1">MID(CELL("address",Tabelle!$Y$49),FIND("!",CELL("address",Tabelle!$Y$49))+1,255)</f>
        <v>$Y$49</v>
      </c>
      <c r="F135">
        <v>2</v>
      </c>
    </row>
    <row r="136" spans="1:6" x14ac:dyDescent="0.3">
      <c r="A136" s="187">
        <v>46083.37222222222</v>
      </c>
      <c r="B136" t="s">
        <v>1537</v>
      </c>
      <c r="C136" t="s">
        <v>1495</v>
      </c>
      <c r="D136" t="str">
        <f ca="1">MID(CELL("address",Tabelle!$Y$49),FIND("!",CELL("address",Tabelle!$Y$49))+1,255)</f>
        <v>$Y$49</v>
      </c>
      <c r="E136">
        <v>2</v>
      </c>
      <c r="F136">
        <v>4</v>
      </c>
    </row>
    <row r="137" spans="1:6" x14ac:dyDescent="0.3">
      <c r="A137" s="187">
        <v>46083.372233796297</v>
      </c>
      <c r="B137" t="s">
        <v>1537</v>
      </c>
      <c r="C137" t="s">
        <v>1495</v>
      </c>
      <c r="D137" t="str">
        <f ca="1">MID(CELL("address",Tabelle!$Z$49),FIND("!",CELL("address",Tabelle!$Z$49))+1,255)</f>
        <v>$Z$49</v>
      </c>
      <c r="F137">
        <v>1845</v>
      </c>
    </row>
    <row r="138" spans="1:6" x14ac:dyDescent="0.3">
      <c r="A138" s="187">
        <v>46083.37228009259</v>
      </c>
      <c r="B138" t="s">
        <v>1537</v>
      </c>
      <c r="C138" t="s">
        <v>1495</v>
      </c>
      <c r="D138" t="str">
        <f ca="1">MID(CELL("address",Tabelle!$AA$49),FIND("!",CELL("address",Tabelle!$AA$49))+1,255)</f>
        <v>$AA$49</v>
      </c>
      <c r="F138">
        <v>685</v>
      </c>
    </row>
    <row r="139" spans="1:6" x14ac:dyDescent="0.3">
      <c r="A139" s="187">
        <v>46083.372303240743</v>
      </c>
      <c r="B139" t="s">
        <v>1537</v>
      </c>
      <c r="C139" t="s">
        <v>1495</v>
      </c>
      <c r="D139" t="str">
        <f ca="1">MID(CELL("address",Tabelle!$AB$49),FIND("!",CELL("address",Tabelle!$AB$49))+1,255)</f>
        <v>$AB$49</v>
      </c>
      <c r="F139">
        <v>836</v>
      </c>
    </row>
    <row r="140" spans="1:6" x14ac:dyDescent="0.3">
      <c r="A140" s="187">
        <v>46083.372372685182</v>
      </c>
      <c r="B140" t="s">
        <v>1537</v>
      </c>
      <c r="C140" t="s">
        <v>1495</v>
      </c>
      <c r="D140" t="str">
        <f ca="1">MID(CELL("address",Tabelle!$AC$49),FIND("!",CELL("address",Tabelle!$AC$49))+1,255)</f>
        <v>$AC$49</v>
      </c>
      <c r="F140">
        <v>1348</v>
      </c>
    </row>
    <row r="141" spans="1:6" x14ac:dyDescent="0.3">
      <c r="A141" s="187">
        <v>46083.376145833332</v>
      </c>
      <c r="B141" t="s">
        <v>1537</v>
      </c>
      <c r="C141" t="s">
        <v>1495</v>
      </c>
      <c r="D141" t="str">
        <f ca="1">MID(CELL("address",Tabelle!$AD$49),FIND("!",CELL("address",Tabelle!$AD$49))+1,255)</f>
        <v>$AD$49</v>
      </c>
      <c r="F141">
        <v>283</v>
      </c>
    </row>
    <row r="142" spans="1:6" x14ac:dyDescent="0.3">
      <c r="A142" s="187">
        <v>46083.376817129632</v>
      </c>
      <c r="B142" t="s">
        <v>1537</v>
      </c>
      <c r="C142" t="s">
        <v>1495</v>
      </c>
      <c r="D142" t="str">
        <f ca="1">MID(CELL("address",Tabelle!$AE$49),FIND("!",CELL("address",Tabelle!$AE$49))+1,255)</f>
        <v>$AE$49</v>
      </c>
      <c r="F142">
        <v>436</v>
      </c>
    </row>
    <row r="143" spans="1:6" x14ac:dyDescent="0.3">
      <c r="A143" s="187">
        <v>46083.376898148148</v>
      </c>
      <c r="B143" t="s">
        <v>1537</v>
      </c>
      <c r="C143" t="s">
        <v>1495</v>
      </c>
      <c r="D143" t="str">
        <f ca="1">MID(CELL("address",Tabelle!$AF$49),FIND("!",CELL("address",Tabelle!$AF$49))+1,255)</f>
        <v>$AF$49</v>
      </c>
      <c r="F143">
        <v>1364</v>
      </c>
    </row>
    <row r="144" spans="1:6" x14ac:dyDescent="0.3">
      <c r="A144" s="187">
        <v>46083.376932870371</v>
      </c>
      <c r="B144" t="s">
        <v>1537</v>
      </c>
      <c r="C144" t="s">
        <v>1495</v>
      </c>
      <c r="D144" t="str">
        <f ca="1">MID(CELL("address",Tabelle!$AG$49),FIND("!",CELL("address",Tabelle!$AG$49))+1,255)</f>
        <v>$AG$49</v>
      </c>
      <c r="F144" t="s">
        <v>1549</v>
      </c>
    </row>
    <row r="145" spans="1:6" x14ac:dyDescent="0.3">
      <c r="A145" s="187">
        <v>46083.37699074074</v>
      </c>
      <c r="B145" t="s">
        <v>1537</v>
      </c>
      <c r="C145" t="s">
        <v>1495</v>
      </c>
      <c r="D145" t="str">
        <f ca="1">MID(CELL("address",Tabelle!$AH$49),FIND("!",CELL("address",Tabelle!$AH$49))+1,255)</f>
        <v>$AH$49</v>
      </c>
      <c r="F145">
        <v>26</v>
      </c>
    </row>
    <row r="146" spans="1:6" x14ac:dyDescent="0.3">
      <c r="A146" s="187">
        <v>46083.377141203702</v>
      </c>
      <c r="B146" t="s">
        <v>1537</v>
      </c>
      <c r="C146" t="s">
        <v>1495</v>
      </c>
      <c r="D146" t="str">
        <f ca="1">MID(CELL("address",Tabelle!$AI$49),FIND("!",CELL("address",Tabelle!$AI$49))+1,255)</f>
        <v>$AI$49</v>
      </c>
      <c r="F146">
        <v>20.5</v>
      </c>
    </row>
    <row r="147" spans="1:6" x14ac:dyDescent="0.3">
      <c r="A147" s="187">
        <v>46083.377210648148</v>
      </c>
      <c r="B147" t="s">
        <v>1537</v>
      </c>
      <c r="C147" t="s">
        <v>1495</v>
      </c>
      <c r="D147" t="str">
        <f ca="1">MID(CELL("address",Tabelle!$AJ$49),FIND("!",CELL("address",Tabelle!$AJ$49))+1,255)</f>
        <v>$AJ$49</v>
      </c>
      <c r="F147">
        <v>30</v>
      </c>
    </row>
    <row r="148" spans="1:6" x14ac:dyDescent="0.3">
      <c r="A148" s="187">
        <v>46083.377280092594</v>
      </c>
      <c r="B148" t="s">
        <v>1537</v>
      </c>
      <c r="C148" t="s">
        <v>1495</v>
      </c>
      <c r="D148" t="str">
        <f ca="1">MID(CELL("address",Tabelle!$AK$49),FIND("!",CELL("address",Tabelle!$AK$49))+1,255)</f>
        <v>$AK$49</v>
      </c>
      <c r="F148">
        <v>620</v>
      </c>
    </row>
    <row r="149" spans="1:6" x14ac:dyDescent="0.3">
      <c r="A149" s="187">
        <v>46083.37740740741</v>
      </c>
      <c r="B149" t="s">
        <v>1537</v>
      </c>
      <c r="C149" t="s">
        <v>1495</v>
      </c>
      <c r="D149" t="str">
        <f ca="1">MID(CELL("address",Tabelle!$AM$49),FIND("!",CELL("address",Tabelle!$AM$49))+1,255)</f>
        <v>$AM$49</v>
      </c>
      <c r="F149" t="s">
        <v>354</v>
      </c>
    </row>
    <row r="150" spans="1:6" x14ac:dyDescent="0.3">
      <c r="A150" s="187">
        <v>46083.381122685183</v>
      </c>
      <c r="B150" t="s">
        <v>1537</v>
      </c>
      <c r="C150" t="s">
        <v>1495</v>
      </c>
      <c r="D150" t="s">
        <v>1550</v>
      </c>
      <c r="E150" t="s">
        <v>1508</v>
      </c>
      <c r="F150" t="s">
        <v>1508</v>
      </c>
    </row>
    <row r="151" spans="1:6" x14ac:dyDescent="0.3">
      <c r="A151" s="187">
        <v>46083.381145833337</v>
      </c>
      <c r="B151" t="s">
        <v>1537</v>
      </c>
      <c r="C151" t="s">
        <v>1495</v>
      </c>
      <c r="D151" t="str">
        <f ca="1">MID(CELL("address",Tabelle!$J$130),FIND("!",CELL("address",Tabelle!$J$130))+1,255)</f>
        <v>$J$130</v>
      </c>
      <c r="F151">
        <v>28</v>
      </c>
    </row>
    <row r="152" spans="1:6" x14ac:dyDescent="0.3">
      <c r="A152" s="187">
        <v>46083.381226851852</v>
      </c>
      <c r="B152" t="s">
        <v>1537</v>
      </c>
      <c r="C152" t="s">
        <v>1495</v>
      </c>
      <c r="D152" t="str">
        <f ca="1">MID(CELL("address",Tabelle!$J$129),FIND("!",CELL("address",Tabelle!$J$129))+1,255)</f>
        <v>$J$129</v>
      </c>
      <c r="F152">
        <v>29</v>
      </c>
    </row>
    <row r="153" spans="1:6" x14ac:dyDescent="0.3">
      <c r="A153" s="187">
        <v>46083.381249999999</v>
      </c>
      <c r="B153" t="s">
        <v>1537</v>
      </c>
      <c r="C153" t="s">
        <v>1495</v>
      </c>
      <c r="D153" t="str">
        <f ca="1">MID(CELL("address",Tabelle!$K$130),FIND("!",CELL("address",Tabelle!$K$130))+1,255)</f>
        <v>$K$130</v>
      </c>
      <c r="F153" t="s">
        <v>1540</v>
      </c>
    </row>
    <row r="154" spans="1:6" x14ac:dyDescent="0.3">
      <c r="A154" s="187">
        <v>46083.381354166668</v>
      </c>
      <c r="B154" t="s">
        <v>1537</v>
      </c>
      <c r="C154" t="s">
        <v>1495</v>
      </c>
      <c r="D154" t="str">
        <f ca="1">MID(CELL("address",Tabelle!$K$129),FIND("!",CELL("address",Tabelle!$K$129))+1,255)</f>
        <v>$K$129</v>
      </c>
      <c r="F154" t="s">
        <v>1542</v>
      </c>
    </row>
    <row r="155" spans="1:6" x14ac:dyDescent="0.3">
      <c r="A155" s="187">
        <v>46083.381504629629</v>
      </c>
      <c r="B155" t="s">
        <v>1537</v>
      </c>
      <c r="C155" t="s">
        <v>1495</v>
      </c>
      <c r="D155" t="e">
        <f ca="1">MID(CELL("address",Tabelle!#REF!),FIND("!",CELL("address",Tabelle!#REF!))+1,255)</f>
        <v>#REF!</v>
      </c>
      <c r="F155" t="s">
        <v>1542</v>
      </c>
    </row>
    <row r="156" spans="1:6" x14ac:dyDescent="0.3">
      <c r="A156" s="187">
        <v>46083.381550925929</v>
      </c>
      <c r="B156" t="s">
        <v>1537</v>
      </c>
      <c r="C156" t="s">
        <v>1495</v>
      </c>
      <c r="D156" t="str">
        <f ca="1">MID(CELL("address",Tabelle!$K$129),FIND("!",CELL("address",Tabelle!$K$129))+1,255)</f>
        <v>$K$129</v>
      </c>
      <c r="E156" t="s">
        <v>1542</v>
      </c>
      <c r="F156" t="s">
        <v>1540</v>
      </c>
    </row>
    <row r="157" spans="1:6" x14ac:dyDescent="0.3">
      <c r="A157" s="187">
        <v>46083.381608796299</v>
      </c>
      <c r="B157" t="s">
        <v>1537</v>
      </c>
      <c r="C157" t="s">
        <v>1495</v>
      </c>
      <c r="D157" t="str">
        <f ca="1">MID(CELL("address",Tabelle!$K$130),FIND("!",CELL("address",Tabelle!$K$130))+1,255)</f>
        <v>$K$130</v>
      </c>
      <c r="E157" t="s">
        <v>1540</v>
      </c>
      <c r="F157" t="s">
        <v>1542</v>
      </c>
    </row>
    <row r="158" spans="1:6" x14ac:dyDescent="0.3">
      <c r="A158" s="187">
        <v>46083.381655092591</v>
      </c>
      <c r="B158" t="s">
        <v>1537</v>
      </c>
      <c r="C158" t="s">
        <v>1495</v>
      </c>
      <c r="D158" t="str">
        <f ca="1">MID(CELL("address",Tabelle!$J$127),FIND("!",CELL("address",Tabelle!$J$127))+1,255)</f>
        <v>$J$127</v>
      </c>
      <c r="E158" t="s">
        <v>1542</v>
      </c>
      <c r="F158">
        <v>26</v>
      </c>
    </row>
    <row r="159" spans="1:6" x14ac:dyDescent="0.3">
      <c r="A159" s="187">
        <v>46083.381828703707</v>
      </c>
      <c r="B159" t="s">
        <v>1537</v>
      </c>
      <c r="C159" t="s">
        <v>1495</v>
      </c>
      <c r="D159" t="s">
        <v>1551</v>
      </c>
      <c r="E159" t="s">
        <v>1508</v>
      </c>
      <c r="F159" t="s">
        <v>1508</v>
      </c>
    </row>
    <row r="160" spans="1:6" x14ac:dyDescent="0.3">
      <c r="A160" s="187">
        <v>46083.381828703707</v>
      </c>
      <c r="B160" t="s">
        <v>1537</v>
      </c>
      <c r="C160" t="s">
        <v>1495</v>
      </c>
      <c r="D160" t="s">
        <v>1552</v>
      </c>
      <c r="E160" t="s">
        <v>1508</v>
      </c>
      <c r="F160" t="s">
        <v>1508</v>
      </c>
    </row>
    <row r="161" spans="1:6" x14ac:dyDescent="0.3">
      <c r="A161" s="187">
        <v>46083.381886574076</v>
      </c>
      <c r="B161" t="s">
        <v>1537</v>
      </c>
      <c r="C161" t="s">
        <v>1495</v>
      </c>
      <c r="D161" t="str">
        <f ca="1">MID(CELL("address",Tabelle!$J$129),FIND("!",CELL("address",Tabelle!$J$129))+1,255)</f>
        <v>$J$129</v>
      </c>
      <c r="E161">
        <v>29</v>
      </c>
      <c r="F161">
        <v>28</v>
      </c>
    </row>
    <row r="162" spans="1:6" x14ac:dyDescent="0.3">
      <c r="A162" s="187">
        <v>46083.381898148145</v>
      </c>
      <c r="B162" t="s">
        <v>1537</v>
      </c>
      <c r="C162" t="s">
        <v>1495</v>
      </c>
      <c r="D162" t="str">
        <f ca="1">MID(CELL("address",Tabelle!$J$130),FIND("!",CELL("address",Tabelle!$J$130))+1,255)</f>
        <v>$J$130</v>
      </c>
      <c r="E162">
        <v>28</v>
      </c>
      <c r="F162">
        <v>29</v>
      </c>
    </row>
    <row r="163" spans="1:6" x14ac:dyDescent="0.3">
      <c r="A163" s="187">
        <v>46083.382037037038</v>
      </c>
      <c r="B163" t="s">
        <v>1537</v>
      </c>
      <c r="C163" t="s">
        <v>1495</v>
      </c>
      <c r="D163" t="str">
        <f ca="1">MID(CELL("address",Tabelle!$U$49),FIND("!",CELL("address",Tabelle!$U$49))+1,255)</f>
        <v>$U$49</v>
      </c>
      <c r="E163" t="s">
        <v>1547</v>
      </c>
      <c r="F163" t="s">
        <v>1553</v>
      </c>
    </row>
    <row r="164" spans="1:6" x14ac:dyDescent="0.3">
      <c r="A164" s="187">
        <v>46083.382152777776</v>
      </c>
      <c r="B164" t="s">
        <v>1537</v>
      </c>
      <c r="C164" t="s">
        <v>1495</v>
      </c>
      <c r="D164" t="str">
        <f ca="1">MID(CELL("address",Tabelle!$U$49),FIND("!",CELL("address",Tabelle!$U$49))+1,255)</f>
        <v>$U$49</v>
      </c>
      <c r="E164" t="s">
        <v>1547</v>
      </c>
      <c r="F164" t="s">
        <v>1538</v>
      </c>
    </row>
    <row r="165" spans="1:6" x14ac:dyDescent="0.3">
      <c r="A165" s="187">
        <v>46083.382303240738</v>
      </c>
      <c r="B165" t="s">
        <v>1537</v>
      </c>
      <c r="C165" t="s">
        <v>1495</v>
      </c>
      <c r="D165" t="s">
        <v>1555</v>
      </c>
      <c r="E165" t="s">
        <v>1508</v>
      </c>
      <c r="F165" t="s">
        <v>1508</v>
      </c>
    </row>
    <row r="166" spans="1:6" x14ac:dyDescent="0.3">
      <c r="A166" s="187">
        <v>46083.382326388892</v>
      </c>
      <c r="B166" t="s">
        <v>1537</v>
      </c>
      <c r="C166" t="s">
        <v>1495</v>
      </c>
      <c r="D166" t="str">
        <f ca="1">MID(CELL("address",Tabelle!$J$92),FIND("!",CELL("address",Tabelle!$J$92))+1,255)</f>
        <v>$J$92</v>
      </c>
      <c r="F166">
        <v>28</v>
      </c>
    </row>
    <row r="167" spans="1:6" x14ac:dyDescent="0.3">
      <c r="A167" s="187">
        <v>46083.382349537038</v>
      </c>
      <c r="B167" t="s">
        <v>1537</v>
      </c>
      <c r="C167" t="s">
        <v>1495</v>
      </c>
      <c r="D167" t="str">
        <f ca="1">MID(CELL("address",Tabelle!$K$92),FIND("!",CELL("address",Tabelle!$K$92))+1,255)</f>
        <v>$K$92</v>
      </c>
      <c r="F167" t="s">
        <v>1553</v>
      </c>
    </row>
    <row r="168" spans="1:6" x14ac:dyDescent="0.3">
      <c r="A168" s="187">
        <v>46083.38244212963</v>
      </c>
      <c r="B168" t="s">
        <v>1537</v>
      </c>
      <c r="C168" t="s">
        <v>1495</v>
      </c>
      <c r="D168" t="str">
        <f ca="1">MID(CELL("address",Tabelle!$J$92),FIND("!",CELL("address",Tabelle!$J$92))+1,255)</f>
        <v>$J$92</v>
      </c>
      <c r="E168">
        <v>28</v>
      </c>
      <c r="F168">
        <v>29</v>
      </c>
    </row>
    <row r="169" spans="1:6" x14ac:dyDescent="0.3">
      <c r="A169" s="187">
        <v>46083.382638888892</v>
      </c>
      <c r="B169" t="s">
        <v>1537</v>
      </c>
      <c r="C169" t="s">
        <v>1495</v>
      </c>
      <c r="D169" t="str">
        <f ca="1">MID(CELL("address",Tabelle!$K$92),FIND("!",CELL("address",Tabelle!$K$92))+1,255)</f>
        <v>$K$92</v>
      </c>
      <c r="E169" t="s">
        <v>1553</v>
      </c>
      <c r="F169" t="s">
        <v>1538</v>
      </c>
    </row>
    <row r="170" spans="1:6" x14ac:dyDescent="0.3">
      <c r="A170" s="187">
        <v>46083.388784722221</v>
      </c>
      <c r="B170" t="s">
        <v>1537</v>
      </c>
      <c r="C170" t="s">
        <v>1495</v>
      </c>
      <c r="D170" t="str">
        <f ca="1">MID(CELL("address",Tabelle!$L$92),FIND("!",CELL("address",Tabelle!$L$92))+1,255)</f>
        <v>$L$92</v>
      </c>
      <c r="F170">
        <v>96</v>
      </c>
    </row>
    <row r="171" spans="1:6" x14ac:dyDescent="0.3">
      <c r="A171" s="187">
        <v>46083.389363425929</v>
      </c>
      <c r="B171" t="s">
        <v>1537</v>
      </c>
      <c r="C171" t="s">
        <v>1495</v>
      </c>
      <c r="D171" t="str">
        <f ca="1">MID(CELL("address",Tabelle!$N$92),FIND("!",CELL("address",Tabelle!$N$92))+1,255)</f>
        <v>$N$92</v>
      </c>
      <c r="F171">
        <v>29</v>
      </c>
    </row>
    <row r="172" spans="1:6" x14ac:dyDescent="0.3">
      <c r="A172" s="187">
        <v>46083.389421296299</v>
      </c>
      <c r="B172" t="s">
        <v>1537</v>
      </c>
      <c r="C172" t="s">
        <v>1495</v>
      </c>
      <c r="D172" t="str">
        <f ca="1">MID(CELL("address",Tabelle!$O$92),FIND("!",CELL("address",Tabelle!$O$92))+1,255)</f>
        <v>$O$92</v>
      </c>
      <c r="F172" t="s">
        <v>1538</v>
      </c>
    </row>
    <row r="173" spans="1:6" x14ac:dyDescent="0.3">
      <c r="A173" s="187">
        <v>46083.389710648145</v>
      </c>
      <c r="B173" t="s">
        <v>1537</v>
      </c>
      <c r="C173" t="s">
        <v>1495</v>
      </c>
      <c r="D173" t="str">
        <f ca="1">MID(CELL("address",Tabelle!$O$92),FIND("!",CELL("address",Tabelle!$O$92))+1,255)</f>
        <v>$O$92</v>
      </c>
      <c r="E173" t="s">
        <v>1538</v>
      </c>
    </row>
    <row r="174" spans="1:6" x14ac:dyDescent="0.3">
      <c r="A174" s="187">
        <v>46083.390543981484</v>
      </c>
      <c r="B174" t="s">
        <v>1537</v>
      </c>
      <c r="C174" t="s">
        <v>1495</v>
      </c>
      <c r="D174" t="str">
        <f ca="1">MID(CELL("address",Tabelle!$K$130),FIND("!",CELL("address",Tabelle!$K$130))+1,255)</f>
        <v>$K$130</v>
      </c>
      <c r="E174" t="s">
        <v>1542</v>
      </c>
      <c r="F174" t="s">
        <v>1538</v>
      </c>
    </row>
    <row r="175" spans="1:6" x14ac:dyDescent="0.3">
      <c r="A175" s="187">
        <v>46083.395590277774</v>
      </c>
      <c r="B175" t="s">
        <v>1537</v>
      </c>
      <c r="C175" t="s">
        <v>1495</v>
      </c>
      <c r="D175" t="str">
        <f ca="1">MID(CELL("address",Tabelle!$L$130),FIND("!",CELL("address",Tabelle!$L$130))+1,255)</f>
        <v>$L$130</v>
      </c>
      <c r="F175">
        <v>3539</v>
      </c>
    </row>
    <row r="176" spans="1:6" x14ac:dyDescent="0.3">
      <c r="A176" s="187">
        <v>46083.395798611113</v>
      </c>
      <c r="B176" t="s">
        <v>1537</v>
      </c>
      <c r="C176" t="s">
        <v>1495</v>
      </c>
      <c r="D176" t="str">
        <f ca="1">MID(CELL("address",Tabelle!$M$130),FIND("!",CELL("address",Tabelle!$M$130))+1,255)</f>
        <v>$M$130</v>
      </c>
      <c r="F176">
        <v>2233</v>
      </c>
    </row>
    <row r="177" spans="1:6" x14ac:dyDescent="0.3">
      <c r="A177" s="187">
        <v>46083.396435185183</v>
      </c>
      <c r="B177" t="s">
        <v>1537</v>
      </c>
      <c r="C177" t="s">
        <v>1495</v>
      </c>
      <c r="D177" t="str">
        <f ca="1">MID(CELL("address",Tabelle!$N$130),FIND("!",CELL("address",Tabelle!$N$130))+1,255)</f>
        <v>$N$130</v>
      </c>
      <c r="F177">
        <v>2523</v>
      </c>
    </row>
    <row r="178" spans="1:6" x14ac:dyDescent="0.3">
      <c r="A178" s="187">
        <v>46083.396631944444</v>
      </c>
      <c r="B178" t="s">
        <v>1537</v>
      </c>
      <c r="C178" t="s">
        <v>1495</v>
      </c>
      <c r="D178" t="s">
        <v>1556</v>
      </c>
      <c r="E178" t="s">
        <v>1508</v>
      </c>
      <c r="F178" t="s">
        <v>1508</v>
      </c>
    </row>
    <row r="179" spans="1:6" x14ac:dyDescent="0.3">
      <c r="A179" s="187">
        <v>46083.396782407406</v>
      </c>
      <c r="B179" t="s">
        <v>1537</v>
      </c>
      <c r="C179" t="s">
        <v>1495</v>
      </c>
      <c r="D179" t="s">
        <v>1557</v>
      </c>
      <c r="E179" t="s">
        <v>1508</v>
      </c>
      <c r="F179" t="s">
        <v>1508</v>
      </c>
    </row>
    <row r="180" spans="1:6" x14ac:dyDescent="0.3">
      <c r="A180" s="187">
        <v>46083.397256944445</v>
      </c>
      <c r="B180" t="s">
        <v>1537</v>
      </c>
      <c r="C180" t="s">
        <v>1495</v>
      </c>
      <c r="D180" t="str">
        <f ca="1">MID(CELL("address",Tabelle!$J$165),FIND("!",CELL("address",Tabelle!$J$165))+1,255)</f>
        <v>$J$165</v>
      </c>
      <c r="F180">
        <v>28</v>
      </c>
    </row>
    <row r="181" spans="1:6" x14ac:dyDescent="0.3">
      <c r="A181" s="187">
        <v>46083.397291666668</v>
      </c>
      <c r="B181" t="s">
        <v>1537</v>
      </c>
      <c r="C181" t="s">
        <v>1495</v>
      </c>
      <c r="D181" t="str">
        <f ca="1">MID(CELL("address",Tabelle!$J$165),FIND("!",CELL("address",Tabelle!$J$165))+1,255)</f>
        <v>$J$165</v>
      </c>
      <c r="E181">
        <v>28</v>
      </c>
      <c r="F181">
        <v>29</v>
      </c>
    </row>
    <row r="182" spans="1:6" x14ac:dyDescent="0.3">
      <c r="A182" s="187">
        <v>46083.397291666668</v>
      </c>
      <c r="B182" t="s">
        <v>1537</v>
      </c>
      <c r="C182" t="s">
        <v>1495</v>
      </c>
      <c r="D182" t="str">
        <f ca="1">MID(CELL("address",Tabelle!$K$165),FIND("!",CELL("address",Tabelle!$K$165))+1,255)</f>
        <v>$K$165</v>
      </c>
      <c r="F182" t="s">
        <v>1540</v>
      </c>
    </row>
    <row r="183" spans="1:6" x14ac:dyDescent="0.3">
      <c r="A183" s="187">
        <v>46083.397453703707</v>
      </c>
      <c r="B183" t="s">
        <v>1537</v>
      </c>
      <c r="C183" t="s">
        <v>1495</v>
      </c>
      <c r="D183" t="str">
        <f ca="1">MID(CELL("address",Tabelle!$K$164),FIND("!",CELL("address",Tabelle!$K$164))+1,255)</f>
        <v>$K$164</v>
      </c>
      <c r="F183" t="s">
        <v>1538</v>
      </c>
    </row>
    <row r="184" spans="1:6" x14ac:dyDescent="0.3">
      <c r="A184" s="187">
        <v>46083.397546296299</v>
      </c>
      <c r="B184" t="s">
        <v>1537</v>
      </c>
      <c r="C184" t="s">
        <v>1495</v>
      </c>
      <c r="D184" t="str">
        <f ca="1">MID(CELL("address",Tabelle!$I$164),FIND("!",CELL("address",Tabelle!$I$164))+1,255)</f>
        <v>$I$164</v>
      </c>
      <c r="F184" t="s">
        <v>1538</v>
      </c>
    </row>
    <row r="185" spans="1:6" x14ac:dyDescent="0.3">
      <c r="A185" s="187">
        <v>46083.397581018522</v>
      </c>
      <c r="B185" t="s">
        <v>1537</v>
      </c>
      <c r="C185" t="s">
        <v>1495</v>
      </c>
      <c r="D185" t="str">
        <f ca="1">MID(CELL("address",Tabelle!$K$164),FIND("!",CELL("address",Tabelle!$K$164))+1,255)</f>
        <v>$K$164</v>
      </c>
      <c r="E185" t="s">
        <v>1538</v>
      </c>
      <c r="F185" t="s">
        <v>1540</v>
      </c>
    </row>
    <row r="186" spans="1:6" x14ac:dyDescent="0.3">
      <c r="A186" s="187">
        <v>46083.397615740738</v>
      </c>
      <c r="B186" t="s">
        <v>1537</v>
      </c>
      <c r="C186" t="s">
        <v>1495</v>
      </c>
      <c r="D186" t="str">
        <f ca="1">MID(CELL("address",Tabelle!$K$165),FIND("!",CELL("address",Tabelle!$K$165))+1,255)</f>
        <v>$K$165</v>
      </c>
      <c r="E186" t="s">
        <v>1540</v>
      </c>
      <c r="F186" t="s">
        <v>1538</v>
      </c>
    </row>
    <row r="187" spans="1:6" x14ac:dyDescent="0.3">
      <c r="A187" s="187">
        <v>46083.397627314815</v>
      </c>
      <c r="B187" t="s">
        <v>1537</v>
      </c>
      <c r="C187" t="s">
        <v>1495</v>
      </c>
      <c r="D187" t="str">
        <f ca="1">MID(CELL("address",Tabelle!$I$164),FIND("!",CELL("address",Tabelle!$I$164))+1,255)</f>
        <v>$I$164</v>
      </c>
      <c r="E187" t="s">
        <v>1538</v>
      </c>
    </row>
    <row r="188" spans="1:6" x14ac:dyDescent="0.3">
      <c r="A188" s="187">
        <v>46083.397962962961</v>
      </c>
      <c r="B188" t="s">
        <v>1537</v>
      </c>
      <c r="C188" t="s">
        <v>1495</v>
      </c>
      <c r="D188" t="str">
        <f ca="1">MID(CELL("address",Tabelle!$L$165),FIND("!",CELL("address",Tabelle!$L$165))+1,255)</f>
        <v>$L$165</v>
      </c>
      <c r="F188">
        <v>9908</v>
      </c>
    </row>
    <row r="189" spans="1:6" x14ac:dyDescent="0.3">
      <c r="A189" s="187">
        <v>46083.398194444446</v>
      </c>
      <c r="B189" t="s">
        <v>1537</v>
      </c>
      <c r="C189" t="s">
        <v>1495</v>
      </c>
      <c r="D189" t="str">
        <f ca="1">MID(CELL("address",Tabelle!$M$165),FIND("!",CELL("address",Tabelle!$M$165))+1,255)</f>
        <v>$M$165</v>
      </c>
      <c r="F189">
        <v>104</v>
      </c>
    </row>
    <row r="190" spans="1:6" x14ac:dyDescent="0.3">
      <c r="A190" s="187">
        <v>46083.398506944446</v>
      </c>
      <c r="B190" t="s">
        <v>1537</v>
      </c>
      <c r="C190" t="s">
        <v>1495</v>
      </c>
      <c r="D190" t="str">
        <f ca="1">MID(CELL("address",Tabelle!$N$165),FIND("!",CELL("address",Tabelle!$N$165))+1,255)</f>
        <v>$N$165</v>
      </c>
      <c r="F190">
        <v>96</v>
      </c>
    </row>
    <row r="191" spans="1:6" x14ac:dyDescent="0.3">
      <c r="A191" s="187">
        <v>46083.398645833331</v>
      </c>
      <c r="B191" t="s">
        <v>1537</v>
      </c>
      <c r="C191" t="s">
        <v>1495</v>
      </c>
      <c r="D191" t="str">
        <f ca="1">MID(CELL("address",Tabelle!$O$165),FIND("!",CELL("address",Tabelle!$O$165))+1,255)</f>
        <v>$O$165</v>
      </c>
      <c r="F191">
        <v>10260</v>
      </c>
    </row>
    <row r="192" spans="1:6" x14ac:dyDescent="0.3">
      <c r="A192" s="187">
        <v>46083.398819444446</v>
      </c>
      <c r="B192" t="s">
        <v>1537</v>
      </c>
      <c r="C192" t="s">
        <v>1495</v>
      </c>
      <c r="D192" t="str">
        <f ca="1">MID(CELL("address",Tabelle!$J$210),FIND("!",CELL("address",Tabelle!$J$210))+1,255)</f>
        <v>$J$210</v>
      </c>
      <c r="F192">
        <v>28</v>
      </c>
    </row>
    <row r="193" spans="1:6" x14ac:dyDescent="0.3">
      <c r="A193" s="187">
        <v>46083.398865740739</v>
      </c>
      <c r="B193" t="s">
        <v>1537</v>
      </c>
      <c r="C193" t="s">
        <v>1495</v>
      </c>
      <c r="D193" t="str">
        <f ca="1">MID(CELL("address",Tabelle!$J$210),FIND("!",CELL("address",Tabelle!$J$210))+1,255)</f>
        <v>$J$210</v>
      </c>
      <c r="E193">
        <v>28</v>
      </c>
      <c r="F193">
        <v>29</v>
      </c>
    </row>
    <row r="194" spans="1:6" x14ac:dyDescent="0.3">
      <c r="A194" s="187">
        <v>46083.398877314816</v>
      </c>
      <c r="B194" t="s">
        <v>1537</v>
      </c>
      <c r="C194" t="s">
        <v>1495</v>
      </c>
      <c r="D194" t="str">
        <f ca="1">MID(CELL("address",Tabelle!$K$210),FIND("!",CELL("address",Tabelle!$K$210))+1,255)</f>
        <v>$K$210</v>
      </c>
      <c r="F194" t="s">
        <v>1553</v>
      </c>
    </row>
    <row r="195" spans="1:6" x14ac:dyDescent="0.3">
      <c r="A195" s="187">
        <v>46083.399016203701</v>
      </c>
      <c r="B195" t="s">
        <v>1537</v>
      </c>
      <c r="C195" t="s">
        <v>1495</v>
      </c>
      <c r="D195" t="str">
        <f ca="1">MID(CELL("address",Tabelle!$K$210),FIND("!",CELL("address",Tabelle!$K$210))+1,255)</f>
        <v>$K$210</v>
      </c>
      <c r="E195" t="s">
        <v>1553</v>
      </c>
      <c r="F195" t="s">
        <v>1538</v>
      </c>
    </row>
    <row r="196" spans="1:6" x14ac:dyDescent="0.3">
      <c r="A196" s="187">
        <v>46083.399247685185</v>
      </c>
      <c r="B196" t="s">
        <v>1537</v>
      </c>
      <c r="C196" t="s">
        <v>1495</v>
      </c>
      <c r="D196" t="str">
        <f ca="1">MID(CELL("address",Tabelle!$L$210),FIND("!",CELL("address",Tabelle!$L$210))+1,255)</f>
        <v>$L$210</v>
      </c>
      <c r="F196">
        <v>96</v>
      </c>
    </row>
    <row r="197" spans="1:6" x14ac:dyDescent="0.3">
      <c r="A197" s="187">
        <v>46083.399363425924</v>
      </c>
      <c r="B197" t="s">
        <v>1537</v>
      </c>
      <c r="C197" t="s">
        <v>1495</v>
      </c>
      <c r="D197" t="s">
        <v>1558</v>
      </c>
      <c r="E197" t="s">
        <v>1508</v>
      </c>
      <c r="F197" t="s">
        <v>1508</v>
      </c>
    </row>
    <row r="198" spans="1:6" x14ac:dyDescent="0.3">
      <c r="A198" s="187">
        <v>46083.39949074074</v>
      </c>
      <c r="B198" t="s">
        <v>1537</v>
      </c>
      <c r="C198" t="s">
        <v>1495</v>
      </c>
      <c r="D198" t="s">
        <v>1559</v>
      </c>
      <c r="E198" t="s">
        <v>1508</v>
      </c>
      <c r="F198" t="s">
        <v>1508</v>
      </c>
    </row>
    <row r="199" spans="1:6" x14ac:dyDescent="0.3">
      <c r="A199" s="187">
        <v>46083.399652777778</v>
      </c>
      <c r="B199" t="s">
        <v>1537</v>
      </c>
      <c r="C199" t="s">
        <v>1495</v>
      </c>
      <c r="D199" t="s">
        <v>1560</v>
      </c>
      <c r="E199" t="s">
        <v>1508</v>
      </c>
      <c r="F199" t="s">
        <v>1508</v>
      </c>
    </row>
    <row r="200" spans="1:6" x14ac:dyDescent="0.3">
      <c r="A200" s="187">
        <v>46083.399780092594</v>
      </c>
      <c r="B200" t="s">
        <v>1537</v>
      </c>
      <c r="C200" t="s">
        <v>1495</v>
      </c>
      <c r="D200" t="str">
        <f ca="1">MID(CELL("address",Tabelle!$L$289),FIND("!",CELL("address",Tabelle!$L$289))+1,255)</f>
        <v>$L$289</v>
      </c>
      <c r="F200">
        <v>81</v>
      </c>
    </row>
    <row r="201" spans="1:6" x14ac:dyDescent="0.3">
      <c r="A201" s="187">
        <v>46083.399861111109</v>
      </c>
      <c r="B201" t="s">
        <v>1537</v>
      </c>
      <c r="C201" t="s">
        <v>1495</v>
      </c>
      <c r="D201" t="str">
        <f ca="1">MID(CELL("address",Tabelle!$M$289),FIND("!",CELL("address",Tabelle!$M$289))+1,255)</f>
        <v>$M$289</v>
      </c>
      <c r="F201">
        <v>67</v>
      </c>
    </row>
    <row r="202" spans="1:6" x14ac:dyDescent="0.3">
      <c r="A202" s="187">
        <v>46083.399988425925</v>
      </c>
      <c r="B202" t="s">
        <v>1537</v>
      </c>
      <c r="C202" t="s">
        <v>1495</v>
      </c>
      <c r="D202" t="str">
        <f ca="1">MID(CELL("address",Tabelle!$N$289),FIND("!",CELL("address",Tabelle!$N$289))+1,255)</f>
        <v>$N$289</v>
      </c>
      <c r="F202">
        <v>61</v>
      </c>
    </row>
    <row r="203" spans="1:6" x14ac:dyDescent="0.3">
      <c r="A203" s="187">
        <v>46083.449756944443</v>
      </c>
      <c r="B203" t="s">
        <v>1537</v>
      </c>
      <c r="C203" t="s">
        <v>1495</v>
      </c>
      <c r="D203" t="s">
        <v>1561</v>
      </c>
      <c r="E203" t="s">
        <v>1508</v>
      </c>
      <c r="F203" t="s">
        <v>1508</v>
      </c>
    </row>
    <row r="204" spans="1:6" x14ac:dyDescent="0.3">
      <c r="A204" s="187">
        <v>46083.450046296297</v>
      </c>
      <c r="B204" t="s">
        <v>1537</v>
      </c>
      <c r="C204" t="s">
        <v>1495</v>
      </c>
      <c r="D204" t="s">
        <v>1562</v>
      </c>
      <c r="E204" t="s">
        <v>1508</v>
      </c>
      <c r="F204" t="s">
        <v>1508</v>
      </c>
    </row>
    <row r="205" spans="1:6" x14ac:dyDescent="0.3">
      <c r="A205" s="187">
        <v>46083.453067129631</v>
      </c>
      <c r="B205" t="s">
        <v>1537</v>
      </c>
      <c r="C205" t="s">
        <v>1495</v>
      </c>
      <c r="D205" t="str">
        <f ca="1">MID(CELL("address",Tabelle!$J$328),FIND("!",CELL("address",Tabelle!$J$328))+1,255)</f>
        <v>$J$328</v>
      </c>
      <c r="E205">
        <v>28</v>
      </c>
      <c r="F205">
        <v>29</v>
      </c>
    </row>
    <row r="206" spans="1:6" x14ac:dyDescent="0.3">
      <c r="A206" s="187">
        <v>46083.453136574077</v>
      </c>
      <c r="B206" t="s">
        <v>1537</v>
      </c>
      <c r="C206" t="s">
        <v>1495</v>
      </c>
      <c r="D206" t="str">
        <f ca="1">MID(CELL("address",Tabelle!$K$328),FIND("!",CELL("address",Tabelle!$K$328))+1,255)</f>
        <v>$K$328</v>
      </c>
      <c r="E206" t="s">
        <v>1540</v>
      </c>
      <c r="F206" t="s">
        <v>1538</v>
      </c>
    </row>
    <row r="207" spans="1:6" x14ac:dyDescent="0.3">
      <c r="A207" s="187">
        <v>46083.455081018517</v>
      </c>
      <c r="B207" t="s">
        <v>1537</v>
      </c>
      <c r="C207" t="s">
        <v>1495</v>
      </c>
      <c r="D207" t="str">
        <f ca="1">MID(CELL("address",Tabelle!$L$328),FIND("!",CELL("address",Tabelle!$L$328))+1,255)</f>
        <v>$L$328</v>
      </c>
      <c r="F207">
        <v>150</v>
      </c>
    </row>
    <row r="208" spans="1:6" x14ac:dyDescent="0.3">
      <c r="A208" s="187">
        <v>46083.455104166664</v>
      </c>
      <c r="B208" t="s">
        <v>1537</v>
      </c>
      <c r="C208" t="s">
        <v>1495</v>
      </c>
      <c r="D208" t="str">
        <f ca="1">MID(CELL("address",Tabelle!$M$328),FIND("!",CELL("address",Tabelle!$M$328))+1,255)</f>
        <v>$M$328</v>
      </c>
      <c r="F208">
        <v>800</v>
      </c>
    </row>
    <row r="209" spans="1:6" x14ac:dyDescent="0.3">
      <c r="A209" s="187">
        <v>46083.45511574074</v>
      </c>
      <c r="B209" t="s">
        <v>1537</v>
      </c>
      <c r="C209" t="s">
        <v>1495</v>
      </c>
      <c r="D209" t="str">
        <f ca="1">MID(CELL("address",Tabelle!$N$328),FIND("!",CELL("address",Tabelle!$N$328))+1,255)</f>
        <v>$N$328</v>
      </c>
      <c r="F209">
        <v>800</v>
      </c>
    </row>
    <row r="210" spans="1:6" x14ac:dyDescent="0.3">
      <c r="A210" s="187">
        <v>46083.455138888887</v>
      </c>
      <c r="B210" t="s">
        <v>1537</v>
      </c>
      <c r="C210" t="s">
        <v>1495</v>
      </c>
      <c r="D210" t="str">
        <f ca="1">MID(CELL("address",Tabelle!$O$328),FIND("!",CELL("address",Tabelle!$O$328))+1,255)</f>
        <v>$O$328</v>
      </c>
      <c r="F210">
        <v>1000</v>
      </c>
    </row>
    <row r="211" spans="1:6" x14ac:dyDescent="0.3">
      <c r="A211" s="187">
        <v>46083.455150462964</v>
      </c>
      <c r="B211" t="s">
        <v>1537</v>
      </c>
      <c r="C211" t="s">
        <v>1495</v>
      </c>
      <c r="D211" t="str">
        <f ca="1">MID(CELL("address",Tabelle!$P$328),FIND("!",CELL("address",Tabelle!$P$328))+1,255)</f>
        <v>$P$328</v>
      </c>
      <c r="F211">
        <v>1000</v>
      </c>
    </row>
    <row r="212" spans="1:6" x14ac:dyDescent="0.3">
      <c r="A212" s="187">
        <v>46083.466134259259</v>
      </c>
      <c r="B212" t="s">
        <v>1537</v>
      </c>
      <c r="C212" t="s">
        <v>1497</v>
      </c>
      <c r="D212" t="s">
        <v>1563</v>
      </c>
      <c r="E212" t="s">
        <v>1508</v>
      </c>
      <c r="F212" t="s">
        <v>1508</v>
      </c>
    </row>
    <row r="213" spans="1:6" x14ac:dyDescent="0.3">
      <c r="A213" s="187">
        <v>46083.466238425928</v>
      </c>
      <c r="B213" t="s">
        <v>1537</v>
      </c>
      <c r="C213" t="s">
        <v>1497</v>
      </c>
      <c r="D213" t="str">
        <f ca="1">MID(CELL("address",INSTALLATION!$A$372),FIND("!",CELL("address",INSTALLATION!$A$372))+1,255)</f>
        <v>$A$372</v>
      </c>
      <c r="F213" t="s">
        <v>1546</v>
      </c>
    </row>
    <row r="214" spans="1:6" x14ac:dyDescent="0.3">
      <c r="A214" s="187">
        <v>46083.466412037036</v>
      </c>
      <c r="B214" t="s">
        <v>1537</v>
      </c>
      <c r="C214" t="s">
        <v>1497</v>
      </c>
      <c r="D214" t="str">
        <f ca="1">MID(CELL("address",INSTALLATION!$B$371),FIND("!",CELL("address",INSTALLATION!$B$371))+1,255)</f>
        <v>$B$371</v>
      </c>
      <c r="E214" t="s">
        <v>833</v>
      </c>
      <c r="F214" t="s">
        <v>833</v>
      </c>
    </row>
    <row r="215" spans="1:6" x14ac:dyDescent="0.3">
      <c r="A215" s="187">
        <v>46083.466423611113</v>
      </c>
      <c r="B215" t="s">
        <v>1537</v>
      </c>
      <c r="C215" t="s">
        <v>1497</v>
      </c>
      <c r="D215" t="str">
        <f ca="1">MID(CELL("address",INSTALLATION!$B$372),FIND("!",CELL("address",INSTALLATION!$B$372))+1,255)</f>
        <v>$B$372</v>
      </c>
      <c r="F215" t="s">
        <v>833</v>
      </c>
    </row>
    <row r="216" spans="1:6" x14ac:dyDescent="0.3">
      <c r="A216" s="187">
        <v>46083.466562499998</v>
      </c>
      <c r="B216" t="s">
        <v>1537</v>
      </c>
      <c r="C216" t="s">
        <v>1497</v>
      </c>
      <c r="D216" t="str">
        <f ca="1">MID(CELL("address",INSTALLATION!$B$372),FIND("!",CELL("address",INSTALLATION!$B$372))+1,255)</f>
        <v>$B$372</v>
      </c>
      <c r="F216" t="s">
        <v>1564</v>
      </c>
    </row>
    <row r="217" spans="1:6" x14ac:dyDescent="0.3">
      <c r="A217" s="187">
        <v>46083.496296296296</v>
      </c>
      <c r="B217" t="s">
        <v>1537</v>
      </c>
      <c r="C217" t="s">
        <v>1499</v>
      </c>
      <c r="D217" t="str">
        <f ca="1">MID(CELL("address",'Interfaccia di selezione'!$F$39),FIND("!",CELL("address",'Interfaccia di selezione'!$F$39))+1,255)</f>
        <v>$F$39</v>
      </c>
      <c r="E217" t="s">
        <v>1542</v>
      </c>
      <c r="F217" t="s">
        <v>1542</v>
      </c>
    </row>
    <row r="218" spans="1:6" x14ac:dyDescent="0.3">
      <c r="A218" s="187">
        <v>46083.496886574074</v>
      </c>
      <c r="B218" t="s">
        <v>1537</v>
      </c>
      <c r="C218" t="s">
        <v>1497</v>
      </c>
      <c r="D218" t="str">
        <f ca="1">MID(CELL("address",INSTALLATION!$C$372),FIND("!",CELL("address",INSTALLATION!$C$372))+1,255)</f>
        <v>$C$372</v>
      </c>
      <c r="F218" t="s">
        <v>1564</v>
      </c>
    </row>
    <row r="219" spans="1:6" x14ac:dyDescent="0.3">
      <c r="A219" s="187">
        <v>46083.496967592589</v>
      </c>
      <c r="B219" t="s">
        <v>1537</v>
      </c>
      <c r="C219" t="s">
        <v>1497</v>
      </c>
      <c r="D219" t="str">
        <f ca="1">MID(CELL("address",INSTALLATION!$C$372),FIND("!",CELL("address",INSTALLATION!$C$372))+1,255)</f>
        <v>$C$372</v>
      </c>
      <c r="F219" t="s">
        <v>1565</v>
      </c>
    </row>
    <row r="220" spans="1:6" x14ac:dyDescent="0.3">
      <c r="A220" s="187">
        <v>46083.510972222219</v>
      </c>
      <c r="B220" t="s">
        <v>1537</v>
      </c>
      <c r="C220" t="s">
        <v>1497</v>
      </c>
      <c r="D220" t="s">
        <v>1566</v>
      </c>
      <c r="E220" t="s">
        <v>1508</v>
      </c>
      <c r="F220" t="s">
        <v>1508</v>
      </c>
    </row>
    <row r="221" spans="1:6" x14ac:dyDescent="0.3">
      <c r="A221" s="187">
        <v>46083.513368055559</v>
      </c>
      <c r="B221" t="s">
        <v>1537</v>
      </c>
      <c r="C221" t="s">
        <v>1497</v>
      </c>
      <c r="D221" t="s">
        <v>1567</v>
      </c>
      <c r="E221" t="s">
        <v>1508</v>
      </c>
      <c r="F221" t="s">
        <v>1508</v>
      </c>
    </row>
    <row r="222" spans="1:6" x14ac:dyDescent="0.3">
      <c r="A222" s="187">
        <v>46083.513506944444</v>
      </c>
      <c r="B222" t="s">
        <v>1537</v>
      </c>
      <c r="C222" t="s">
        <v>1497</v>
      </c>
      <c r="D222" t="str">
        <f ca="1">MID(CELL("address",INSTALLATION!$B$373),FIND("!",CELL("address",INSTALLATION!$B$373))+1,255)</f>
        <v>$B$373</v>
      </c>
      <c r="F222" t="s">
        <v>1564</v>
      </c>
    </row>
    <row r="223" spans="1:6" x14ac:dyDescent="0.3">
      <c r="A223" s="187">
        <v>46083.51353009259</v>
      </c>
      <c r="B223" t="s">
        <v>1537</v>
      </c>
      <c r="C223" t="s">
        <v>1497</v>
      </c>
      <c r="D223" t="str">
        <f ca="1">MID(CELL("address",INSTALLATION!$A$373),FIND("!",CELL("address",INSTALLATION!$A$373))+1,255)</f>
        <v>$A$373</v>
      </c>
      <c r="F223" t="s">
        <v>1568</v>
      </c>
    </row>
    <row r="224" spans="1:6" x14ac:dyDescent="0.3">
      <c r="A224" s="187">
        <v>46083.513657407406</v>
      </c>
      <c r="B224" t="s">
        <v>1537</v>
      </c>
      <c r="C224" t="s">
        <v>1497</v>
      </c>
      <c r="D224" t="str">
        <f ca="1">MID(CELL("address",INSTALLATION!$B$373),FIND("!",CELL("address",INSTALLATION!$B$373))+1,255)</f>
        <v>$B$373</v>
      </c>
      <c r="E224" t="s">
        <v>1564</v>
      </c>
      <c r="F224" t="s">
        <v>1569</v>
      </c>
    </row>
    <row r="225" spans="1:6" x14ac:dyDescent="0.3">
      <c r="A225" s="187">
        <v>46083.514293981483</v>
      </c>
      <c r="B225" t="s">
        <v>1537</v>
      </c>
      <c r="C225" t="s">
        <v>1497</v>
      </c>
      <c r="D225" t="str">
        <f ca="1">MID(CELL("address",INSTALLATION!$A$527),FIND("!",CELL("address",INSTALLATION!$A$527))+1,255)</f>
        <v>$A$527</v>
      </c>
      <c r="F225" t="s">
        <v>832</v>
      </c>
    </row>
    <row r="226" spans="1:6" x14ac:dyDescent="0.3">
      <c r="A226" s="187">
        <v>46083.514456018522</v>
      </c>
      <c r="B226" t="s">
        <v>1537</v>
      </c>
      <c r="C226" t="s">
        <v>1497</v>
      </c>
      <c r="D226" t="str">
        <f ca="1">MID(CELL("address",INSTALLATION!$B$527),FIND("!",CELL("address",INSTALLATION!$B$527))+1,255)</f>
        <v>$B$527</v>
      </c>
      <c r="F226" t="s">
        <v>1493</v>
      </c>
    </row>
    <row r="227" spans="1:6" x14ac:dyDescent="0.3">
      <c r="A227" s="187">
        <v>46083.51462962963</v>
      </c>
      <c r="B227" t="s">
        <v>1537</v>
      </c>
      <c r="C227" t="s">
        <v>1497</v>
      </c>
      <c r="D227" t="str">
        <f ca="1">MID(CELL("address",INSTALLATION!$B$527),FIND("!",CELL("address",INSTALLATION!$B$527))+1,255)</f>
        <v>$B$527</v>
      </c>
      <c r="E227" t="s">
        <v>1493</v>
      </c>
      <c r="F227" t="s">
        <v>1570</v>
      </c>
    </row>
    <row r="228" spans="1:6" x14ac:dyDescent="0.3">
      <c r="A228" s="187">
        <v>46083.514699074076</v>
      </c>
      <c r="B228" t="s">
        <v>1537</v>
      </c>
      <c r="C228" t="s">
        <v>1497</v>
      </c>
      <c r="D228" t="s">
        <v>1571</v>
      </c>
      <c r="E228" t="s">
        <v>1508</v>
      </c>
      <c r="F228" t="s">
        <v>1508</v>
      </c>
    </row>
    <row r="229" spans="1:6" x14ac:dyDescent="0.3">
      <c r="A229" s="187">
        <v>46083.514884259261</v>
      </c>
      <c r="B229" t="s">
        <v>1537</v>
      </c>
      <c r="C229" t="s">
        <v>1497</v>
      </c>
      <c r="D229" t="str">
        <f ca="1">MID(CELL("address",INSTALLATION!$A$528),FIND("!",CELL("address",INSTALLATION!$A$528))+1,255)</f>
        <v>$A$528</v>
      </c>
      <c r="F229" t="s">
        <v>1546</v>
      </c>
    </row>
    <row r="230" spans="1:6" x14ac:dyDescent="0.3">
      <c r="A230" s="187">
        <v>46083.514930555553</v>
      </c>
      <c r="B230" t="s">
        <v>1537</v>
      </c>
      <c r="C230" t="s">
        <v>1497</v>
      </c>
      <c r="D230" t="str">
        <f ca="1">MID(CELL("address",INSTALLATION!$B$528),FIND("!",CELL("address",INSTALLATION!$B$528))+1,255)</f>
        <v>$B$528</v>
      </c>
      <c r="F230" t="s">
        <v>1570</v>
      </c>
    </row>
    <row r="231" spans="1:6" x14ac:dyDescent="0.3">
      <c r="A231" s="187">
        <v>46083.516527777778</v>
      </c>
      <c r="B231" t="s">
        <v>1537</v>
      </c>
      <c r="C231" t="s">
        <v>1497</v>
      </c>
      <c r="D231" t="str">
        <f ca="1">MID(CELL("address",INSTALLATION!$B$527),FIND("!",CELL("address",INSTALLATION!$B$527))+1,255)</f>
        <v>$B$527</v>
      </c>
      <c r="F231" t="s">
        <v>1570</v>
      </c>
    </row>
    <row r="232" spans="1:6" x14ac:dyDescent="0.3">
      <c r="A232" s="187">
        <v>46083.516585648147</v>
      </c>
      <c r="B232" t="s">
        <v>1537</v>
      </c>
      <c r="C232" t="s">
        <v>1497</v>
      </c>
      <c r="D232" t="s">
        <v>1572</v>
      </c>
      <c r="E232" t="s">
        <v>1508</v>
      </c>
      <c r="F232" t="s">
        <v>1508</v>
      </c>
    </row>
    <row r="233" spans="1:6" x14ac:dyDescent="0.3">
      <c r="A233" s="187">
        <v>46083.516631944447</v>
      </c>
      <c r="B233" t="s">
        <v>1537</v>
      </c>
      <c r="C233" t="s">
        <v>1497</v>
      </c>
      <c r="D233" t="str">
        <f ca="1">MID(CELL("address",INSTALLATION!$A$529),FIND("!",CELL("address",INSTALLATION!$A$529))+1,255)</f>
        <v>$A$529</v>
      </c>
      <c r="F233" t="s">
        <v>1568</v>
      </c>
    </row>
    <row r="234" spans="1:6" x14ac:dyDescent="0.3">
      <c r="A234" s="187">
        <v>46083.516712962963</v>
      </c>
      <c r="B234" t="s">
        <v>1537</v>
      </c>
      <c r="C234" t="s">
        <v>1497</v>
      </c>
      <c r="D234" t="str">
        <f ca="1">MID(CELL("address",INSTALLATION!$A$528),FIND("!",CELL("address",INSTALLATION!$A$528))+1,255)</f>
        <v>$A$528</v>
      </c>
      <c r="F234" t="s">
        <v>1546</v>
      </c>
    </row>
    <row r="235" spans="1:6" x14ac:dyDescent="0.3">
      <c r="A235" s="187">
        <v>46083.516782407409</v>
      </c>
      <c r="B235" t="s">
        <v>1537</v>
      </c>
      <c r="C235" t="s">
        <v>1497</v>
      </c>
      <c r="D235" t="str">
        <f ca="1">MID(CELL("address",INSTALLATION!$A$529),FIND("!",CELL("address",INSTALLATION!$A$529))+1,255)</f>
        <v>$A$529</v>
      </c>
      <c r="E235" t="s">
        <v>1568</v>
      </c>
      <c r="F235" t="s">
        <v>1546</v>
      </c>
    </row>
    <row r="236" spans="1:6" x14ac:dyDescent="0.3">
      <c r="A236" s="187">
        <v>46083.517777777779</v>
      </c>
      <c r="B236" t="s">
        <v>1537</v>
      </c>
      <c r="C236" t="s">
        <v>1497</v>
      </c>
      <c r="D236" t="str">
        <f ca="1">MID(CELL("address",INSTALLATION!$B$529),FIND("!",CELL("address",INSTALLATION!$B$529))+1,255)</f>
        <v>$B$529</v>
      </c>
    </row>
    <row r="237" spans="1:6" x14ac:dyDescent="0.3">
      <c r="A237" s="187">
        <v>46083.51871527778</v>
      </c>
      <c r="B237" t="s">
        <v>1537</v>
      </c>
      <c r="C237" t="s">
        <v>1497</v>
      </c>
      <c r="D237" t="str">
        <f ca="1">MID(CELL("address",INSTALLATION!$B$529),FIND("!",CELL("address",INSTALLATION!$B$529))+1,255)</f>
        <v>$B$529</v>
      </c>
      <c r="F237" t="s">
        <v>1573</v>
      </c>
    </row>
    <row r="238" spans="1:6" x14ac:dyDescent="0.3">
      <c r="A238" s="187">
        <v>46083.518761574072</v>
      </c>
      <c r="B238" t="s">
        <v>1537</v>
      </c>
      <c r="C238" t="s">
        <v>1497</v>
      </c>
      <c r="D238" t="str">
        <f ca="1">MID(CELL("address",INSTALLATION!$B$529),FIND("!",CELL("address",INSTALLATION!$B$529))+1,255)</f>
        <v>$B$529</v>
      </c>
      <c r="F238" t="s">
        <v>1573</v>
      </c>
    </row>
    <row r="239" spans="1:6" x14ac:dyDescent="0.3">
      <c r="A239" s="187">
        <v>46083.665011574078</v>
      </c>
      <c r="B239" t="s">
        <v>1537</v>
      </c>
      <c r="C239" t="s">
        <v>1497</v>
      </c>
      <c r="D239" t="str">
        <f ca="1">MID(CELL("address",INSTALLATION!$B$529),FIND("!",CELL("address",INSTALLATION!$B$529))+1,255)</f>
        <v>$B$529</v>
      </c>
      <c r="E239" t="s">
        <v>1573</v>
      </c>
      <c r="F239" t="s">
        <v>1574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85FD9D7DDF8DBF42A75C22B6D099CAAD" ma:contentTypeVersion="19" ma:contentTypeDescription="Creare un nuovo documento." ma:contentTypeScope="" ma:versionID="26cb6b315bbf3c90feaa32db98157dcf">
  <xsd:schema xmlns:xsd="http://www.w3.org/2001/XMLSchema" xmlns:xs="http://www.w3.org/2001/XMLSchema" xmlns:p="http://schemas.microsoft.com/office/2006/metadata/properties" xmlns:ns2="71081daf-5ef6-485a-bc04-ac1cb7e70422" xmlns:ns3="a33df173-4a91-47fe-99b0-c60df53b96b9" targetNamespace="http://schemas.microsoft.com/office/2006/metadata/properties" ma:root="true" ma:fieldsID="a2106d1be5fa080bf72060ecc8f74794" ns2:_="" ns3:_="">
    <xsd:import namespace="71081daf-5ef6-485a-bc04-ac1cb7e70422"/>
    <xsd:import namespace="a33df173-4a91-47fe-99b0-c60df53b96b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Locatio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081daf-5ef6-485a-bc04-ac1cb7e7042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Tag immagine" ma:readOnly="false" ma:fieldId="{5cf76f15-5ced-4ddc-b409-7134ff3c332f}" ma:taxonomyMulti="true" ma:sspId="67adeefa-7b3f-4718-bee1-c303efa997c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BillingMetadata" ma:index="26"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33df173-4a91-47fe-99b0-c60df53b96b9" elementFormDefault="qualified">
    <xsd:import namespace="http://schemas.microsoft.com/office/2006/documentManagement/types"/>
    <xsd:import namespace="http://schemas.microsoft.com/office/infopath/2007/PartnerControls"/>
    <xsd:element name="SharedWithUsers" ma:index="10"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Condiviso con dettagli" ma:internalName="SharedWithDetails" ma:readOnly="true">
      <xsd:simpleType>
        <xsd:restriction base="dms:Note">
          <xsd:maxLength value="255"/>
        </xsd:restriction>
      </xsd:simpleType>
    </xsd:element>
    <xsd:element name="TaxCatchAll" ma:index="23" nillable="true" ma:displayName="Taxonomy Catch All Column" ma:hidden="true" ma:list="{59bda9c9-3c5b-4784-8501-3f23f58a0426}" ma:internalName="TaxCatchAll" ma:showField="CatchAllData" ma:web="a33df173-4a91-47fe-99b0-c60df53b96b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a33df173-4a91-47fe-99b0-c60df53b96b9" xsi:nil="true"/>
    <lcf76f155ced4ddcb4097134ff3c332f xmlns="71081daf-5ef6-485a-bc04-ac1cb7e70422">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CEB6A414-A615-4B48-9841-19DA810A4308}">
  <ds:schemaRefs>
    <ds:schemaRef ds:uri="http://schemas.microsoft.com/sharepoint/v3/contenttype/forms"/>
  </ds:schemaRefs>
</ds:datastoreItem>
</file>

<file path=customXml/itemProps2.xml><?xml version="1.0" encoding="utf-8"?>
<ds:datastoreItem xmlns:ds="http://schemas.openxmlformats.org/officeDocument/2006/customXml" ds:itemID="{0EDE921E-EA27-4F56-BA4F-11C6ED3A76F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081daf-5ef6-485a-bc04-ac1cb7e70422"/>
    <ds:schemaRef ds:uri="a33df173-4a91-47fe-99b0-c60df53b96b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EF60C59-761A-4188-A2BB-F4C974AA428C}">
  <ds:schemaRefs>
    <ds:schemaRef ds:uri="http://purl.org/dc/elements/1.1/"/>
    <ds:schemaRef ds:uri="http://schemas.microsoft.com/office/2006/documentManagement/types"/>
    <ds:schemaRef ds:uri="a33df173-4a91-47fe-99b0-c60df53b96b9"/>
    <ds:schemaRef ds:uri="71081daf-5ef6-485a-bc04-ac1cb7e70422"/>
    <ds:schemaRef ds:uri="http://purl.org/dc/terms/"/>
    <ds:schemaRef ds:uri="http://www.w3.org/XML/1998/namespace"/>
    <ds:schemaRef ds:uri="http://purl.org/dc/dcmitype/"/>
    <ds:schemaRef ds:uri="http://schemas.microsoft.com/office/2006/metadata/propertie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80</vt:i4>
      </vt:variant>
    </vt:vector>
  </HeadingPairs>
  <TitlesOfParts>
    <vt:vector size="84" baseType="lpstr">
      <vt:lpstr>Interfaccia di selezione</vt:lpstr>
      <vt:lpstr>INSTALLATION</vt:lpstr>
      <vt:lpstr>Tabelle</vt:lpstr>
      <vt:lpstr>RegistroModifiche</vt:lpstr>
      <vt:lpstr>INSTALLATION!_Hlk7075375</vt:lpstr>
      <vt:lpstr>INSTALLATION!_Ref20146285</vt:lpstr>
      <vt:lpstr>INSTALLATION!_Ref533175827</vt:lpstr>
      <vt:lpstr>INSTALLATION!_Toc201825353</vt:lpstr>
      <vt:lpstr>INSTALLATION!_Toc201825354</vt:lpstr>
      <vt:lpstr>INSTALLATION!_Toc201825362</vt:lpstr>
      <vt:lpstr>INSTALLATION!_Toc201825363</vt:lpstr>
      <vt:lpstr>INSTALLATION!_Toc201825364</vt:lpstr>
      <vt:lpstr>INSTALLATION!_Toc201825366</vt:lpstr>
      <vt:lpstr>INSTALLATION!_Toc201825368</vt:lpstr>
      <vt:lpstr>INSTALLATION!_Toc201825370</vt:lpstr>
      <vt:lpstr>INSTALLATION!_Toc201825371</vt:lpstr>
      <vt:lpstr>INSTALLATION!_Toc201825390</vt:lpstr>
      <vt:lpstr>INSTALLATION!_Toc201825400</vt:lpstr>
      <vt:lpstr>INSTALLATION!_Toc201825402</vt:lpstr>
      <vt:lpstr>INSTALLATION!_Toc201825403</vt:lpstr>
      <vt:lpstr>INSTALLATION!_Toc201825404</vt:lpstr>
      <vt:lpstr>INSTALLATION!_Toc201825405</vt:lpstr>
      <vt:lpstr>INSTALLATION!_Toc201825407</vt:lpstr>
      <vt:lpstr>INSTALLATION!_Toc201825408</vt:lpstr>
      <vt:lpstr>INSTALLATION!_Toc201825409</vt:lpstr>
      <vt:lpstr>INSTALLATION!_Toc201825410</vt:lpstr>
      <vt:lpstr>INSTALLATION!_Toc201825411</vt:lpstr>
      <vt:lpstr>INSTALLATION!_Toc201825412</vt:lpstr>
      <vt:lpstr>INSTALLATION!_Toc201825414</vt:lpstr>
      <vt:lpstr>INSTALLATION!_Toc201825415</vt:lpstr>
      <vt:lpstr>INSTALLATION!_Toc201825416</vt:lpstr>
      <vt:lpstr>INSTALLATION!_Toc201825417</vt:lpstr>
      <vt:lpstr>INSTALLATION!_Toc201825418</vt:lpstr>
      <vt:lpstr>INSTALLATION!_Toc201825419</vt:lpstr>
      <vt:lpstr>INSTALLATION!_Toc201825420</vt:lpstr>
      <vt:lpstr>INSTALLATION!_Toc201825421</vt:lpstr>
      <vt:lpstr>INSTALLATION!_Toc201825423</vt:lpstr>
      <vt:lpstr>INSTALLATION!_Toc201825426</vt:lpstr>
      <vt:lpstr>INSTALLATION!_Toc201825428</vt:lpstr>
      <vt:lpstr>INSTALLATION!_Toc201825430</vt:lpstr>
      <vt:lpstr>INSTALLATION!_Toc201825431</vt:lpstr>
      <vt:lpstr>INSTALLATION!_Toc201825432</vt:lpstr>
      <vt:lpstr>INSTALLATION!_Toc201825433</vt:lpstr>
      <vt:lpstr>INSTALLATION!_Toc201825434</vt:lpstr>
      <vt:lpstr>INSTALLATION!_Toc201825435</vt:lpstr>
      <vt:lpstr>INSTALLATION!_Toc201825437</vt:lpstr>
      <vt:lpstr>INSTALLATION!_Toc201825438</vt:lpstr>
      <vt:lpstr>INSTALLATION!_Toc201825439</vt:lpstr>
      <vt:lpstr>INSTALLATION!_Toc201825445</vt:lpstr>
      <vt:lpstr>INSTALLATION!_Toc201826118</vt:lpstr>
      <vt:lpstr>INSTALLATION!_Toc201826119</vt:lpstr>
      <vt:lpstr>INSTALLATION!_Toc201826120</vt:lpstr>
      <vt:lpstr>INSTALLATION!_Toc201826121</vt:lpstr>
      <vt:lpstr>INSTALLATION!_Toc201826122</vt:lpstr>
      <vt:lpstr>INSTALLATION!_Toc201826123</vt:lpstr>
      <vt:lpstr>INSTALLATION!_Toc201826124</vt:lpstr>
      <vt:lpstr>INSTALLATION!_Toc201826125</vt:lpstr>
      <vt:lpstr>INSTALLATION!_Toc201826126</vt:lpstr>
      <vt:lpstr>INSTALLATION!_Toc201826127</vt:lpstr>
      <vt:lpstr>INSTALLATION!_Toc201826128</vt:lpstr>
      <vt:lpstr>INSTALLATION!_Toc201826130</vt:lpstr>
      <vt:lpstr>INSTALLATION!_Toc201826131</vt:lpstr>
      <vt:lpstr>INSTALLATION!_Toc201826177</vt:lpstr>
      <vt:lpstr>INSTALLATION!_Toc201826178</vt:lpstr>
      <vt:lpstr>INSTALLATION!_Toc201826179</vt:lpstr>
      <vt:lpstr>INSTALLATION!_Toc201826180</vt:lpstr>
      <vt:lpstr>INSTALLATION!_Toc201826181</vt:lpstr>
      <vt:lpstr>INSTALLATION!_Toc201826182</vt:lpstr>
      <vt:lpstr>INSTALLATION!_Toc201826183</vt:lpstr>
      <vt:lpstr>INSTALLATION!_Toc201826184</vt:lpstr>
      <vt:lpstr>INSTALLATION!_Toc201826185</vt:lpstr>
      <vt:lpstr>INSTALLATION!_Toc201826186</vt:lpstr>
      <vt:lpstr>INSTALLATION!_Toc201826189</vt:lpstr>
      <vt:lpstr>INSTALLATION!_Toc201826190</vt:lpstr>
      <vt:lpstr>INSTALLATION!_Toc201826191</vt:lpstr>
      <vt:lpstr>INSTALLATION!_Toc201826192</vt:lpstr>
      <vt:lpstr>INSTALLATION!_Toc201826193</vt:lpstr>
      <vt:lpstr>INSTALLATION!_Toc201826194</vt:lpstr>
      <vt:lpstr>INSTALLATION!_Toc201826195</vt:lpstr>
      <vt:lpstr>INSTALLATION!_Toc201826197</vt:lpstr>
      <vt:lpstr>INSTALLATION!_Toc201826199</vt:lpstr>
      <vt:lpstr>INSTALLATION!_Toc22741556</vt:lpstr>
      <vt:lpstr>INSTALLATION!_Toc22741575</vt:lpstr>
      <vt:lpstr>INSTALLATION!_Toc6856232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ILIJA</dc:creator>
  <cp:lastModifiedBy>LJESKOVIC ILIJA</cp:lastModifiedBy>
  <cp:lastPrinted>2025-08-28T13:01:53Z</cp:lastPrinted>
  <dcterms:created xsi:type="dcterms:W3CDTF">2015-06-05T18:17:20Z</dcterms:created>
  <dcterms:modified xsi:type="dcterms:W3CDTF">2026-03-19T13:30:17Z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0x01010085FD9D7DDF8DBF42A75C22B6D099CAAD</vt:lpwstr>
  </property>
  <property fmtid="{D5CDD505-2E9C-101B-9397-08002B2CF9AE}" pid="3" name="MediaServiceImageTags">
    <vt:lpwstr/>
  </property>
</Properties>
</file>